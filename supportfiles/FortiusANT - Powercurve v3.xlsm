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991D0A48-93DC-41EB-8754-9D2C388575E7}" xr6:coauthVersionLast="45" xr6:coauthVersionMax="45" xr10:uidLastSave="{00000000-0000-0000-0000-000000000000}"/>
  <bookViews>
    <workbookView xWindow="3225" yWindow="-120" windowWidth="20895" windowHeight="13740" xr2:uid="{3CA8E08F-96E3-47C9-97C1-177906E9D84F}"/>
  </bookViews>
  <sheets>
    <sheet name="Power4 Fiets.nl" sheetId="5" r:id="rId1"/>
    <sheet name="iMagic" sheetId="6" r:id="rId2"/>
  </sheets>
  <functionGroups builtInGroupCount="19"/>
  <externalReferences>
    <externalReference r:id="rId3"/>
  </externalReferences>
  <definedNames>
    <definedName name="dDn" localSheetId="0">[1]Grade2Resistance!$D$22</definedName>
    <definedName name="dUp" localSheetId="0">[1]Grade2Resistance!$D$14</definedName>
    <definedName name="fL" localSheetId="0">[1]Grade2Resistance!$D$6</definedName>
    <definedName name="Formula">'Power4 Fiets.nl'!$E$4</definedName>
    <definedName name="fS" localSheetId="0">[1]Grade2Resistance!$D$7</definedName>
    <definedName name="ftp" localSheetId="0">[1]Grade2Resistance!$D$2</definedName>
    <definedName name="ftp_Dn" localSheetId="0">[1]Grade2Resistance!$D$3</definedName>
    <definedName name="ftp_Up" localSheetId="0">[1]Grade2Resistance!$D$4</definedName>
    <definedName name="gradeDn" localSheetId="0">[1]Grade2Resistance!$D$19</definedName>
    <definedName name="gradeUp" localSheetId="0">[1]Grade2Resistance!$D$11</definedName>
    <definedName name="P_Dn" localSheetId="0">[1]Grade2Resistance!$D$24</definedName>
    <definedName name="P_Up" localSheetId="0">[1]Grade2Resistance!$D$16</definedName>
    <definedName name="_xlnm.Print_Area" localSheetId="0">'Power4 Fiets.nl'!$B$9:$U$30</definedName>
    <definedName name="R_Dn" localSheetId="0">[1]Grade2Resistance!$D$25</definedName>
    <definedName name="R_Up" localSheetId="0">[1]Grade2Resistance!$D$17</definedName>
    <definedName name="rDn" localSheetId="0">[1]Grade2Resistance!$D$21</definedName>
    <definedName name="rL" localSheetId="0">[1]Grade2Resistance!$D$8</definedName>
    <definedName name="rpmDn" localSheetId="0">[1]Grade2Resistance!$D$20</definedName>
    <definedName name="rpmUp" localSheetId="0">[1]Grade2Resistance!$D$12</definedName>
    <definedName name="rS" localSheetId="0">[1]Grade2Resistance!$D$9</definedName>
    <definedName name="rUp" localSheetId="0">[1]Grade2Resistance!$D$13</definedName>
    <definedName name="tyre" localSheetId="0">[1]Grade2Resistance!$D$5</definedName>
    <definedName name="wDn" localSheetId="0">[1]Grade2Resistance!$D$23</definedName>
    <definedName name="wUp" localSheetId="0">[1]Grade2Resistance!$D$15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5" l="1"/>
  <c r="X3" i="5"/>
  <c r="F26" i="6" l="1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I65" i="6" a="1"/>
  <c r="G65" i="6" a="1"/>
  <c r="E65" i="6" a="1"/>
  <c r="I64" i="6" a="1"/>
  <c r="G64" i="6" a="1"/>
  <c r="E64" i="6" a="1"/>
  <c r="I63" i="6" a="1"/>
  <c r="G63" i="6" a="1"/>
  <c r="E63" i="6" a="1"/>
  <c r="I62" i="6" a="1"/>
  <c r="G62" i="6" a="1"/>
  <c r="E62" i="6" a="1"/>
  <c r="I61" i="6" a="1"/>
  <c r="G61" i="6" a="1"/>
  <c r="E61" i="6" a="1"/>
  <c r="I60" i="6" a="1"/>
  <c r="G60" i="6" a="1"/>
  <c r="E60" i="6" a="1"/>
  <c r="I59" i="6" a="1"/>
  <c r="G59" i="6" a="1"/>
  <c r="E59" i="6" a="1"/>
  <c r="I58" i="6" a="1"/>
  <c r="G58" i="6" a="1"/>
  <c r="E58" i="6" a="1"/>
  <c r="I57" i="6" a="1"/>
  <c r="G57" i="6" a="1"/>
  <c r="E57" i="6" a="1"/>
  <c r="I56" i="6" a="1"/>
  <c r="G56" i="6" a="1"/>
  <c r="E56" i="6" a="1"/>
  <c r="I55" i="6" a="1"/>
  <c r="G55" i="6" a="1"/>
  <c r="E55" i="6" a="1"/>
  <c r="I54" i="6" a="1"/>
  <c r="G54" i="6" a="1"/>
  <c r="E54" i="6" a="1"/>
  <c r="I53" i="6" a="1"/>
  <c r="G53" i="6" a="1"/>
  <c r="E53" i="6" a="1"/>
  <c r="I52" i="6" a="1"/>
  <c r="G52" i="6" a="1"/>
  <c r="E52" i="6" a="1"/>
  <c r="I51" i="6" a="1"/>
  <c r="G51" i="6" a="1"/>
  <c r="E51" i="6" a="1"/>
  <c r="I50" i="6" a="1"/>
  <c r="G50" i="6" a="1"/>
  <c r="E50" i="6" a="1"/>
  <c r="T6" i="5"/>
  <c r="P7" i="5"/>
  <c r="H7" i="5"/>
  <c r="J6" i="5"/>
  <c r="L5" i="5"/>
  <c r="N4" i="5"/>
  <c r="K7" i="5"/>
  <c r="I4" i="5"/>
  <c r="I7" i="5"/>
  <c r="O7" i="5"/>
  <c r="G7" i="5"/>
  <c r="I6" i="5"/>
  <c r="K5" i="5"/>
  <c r="M4" i="5"/>
  <c r="M6" i="5"/>
  <c r="N5" i="5"/>
  <c r="N7" i="5"/>
  <c r="P6" i="5"/>
  <c r="H6" i="5"/>
  <c r="J5" i="5"/>
  <c r="L4" i="5"/>
  <c r="H5" i="5"/>
  <c r="G5" i="5"/>
  <c r="H4" i="5"/>
  <c r="M7" i="5"/>
  <c r="O6" i="5"/>
  <c r="G6" i="5"/>
  <c r="I5" i="5"/>
  <c r="K4" i="5"/>
  <c r="O5" i="5"/>
  <c r="P4" i="5"/>
  <c r="K6" i="5"/>
  <c r="L7" i="5"/>
  <c r="N6" i="5"/>
  <c r="P5" i="5"/>
  <c r="J4" i="5"/>
  <c r="L6" i="5"/>
  <c r="O4" i="5"/>
  <c r="J7" i="5"/>
  <c r="M5" i="5"/>
  <c r="G4" i="5"/>
  <c r="E50" i="6" l="1"/>
  <c r="G50" i="6"/>
  <c r="I50" i="6"/>
  <c r="E51" i="6"/>
  <c r="G51" i="6"/>
  <c r="I51" i="6"/>
  <c r="E52" i="6"/>
  <c r="G52" i="6"/>
  <c r="I52" i="6"/>
  <c r="E53" i="6"/>
  <c r="G53" i="6"/>
  <c r="I53" i="6"/>
  <c r="E54" i="6"/>
  <c r="G54" i="6"/>
  <c r="I54" i="6"/>
  <c r="E55" i="6"/>
  <c r="G55" i="6"/>
  <c r="I55" i="6"/>
  <c r="E56" i="6"/>
  <c r="G56" i="6"/>
  <c r="I56" i="6"/>
  <c r="E57" i="6"/>
  <c r="G57" i="6"/>
  <c r="I57" i="6"/>
  <c r="E58" i="6"/>
  <c r="G58" i="6"/>
  <c r="I58" i="6"/>
  <c r="E59" i="6"/>
  <c r="G59" i="6"/>
  <c r="I59" i="6"/>
  <c r="E60" i="6"/>
  <c r="G60" i="6"/>
  <c r="I60" i="6"/>
  <c r="E61" i="6"/>
  <c r="G61" i="6"/>
  <c r="I61" i="6"/>
  <c r="E62" i="6"/>
  <c r="G62" i="6"/>
  <c r="I62" i="6"/>
  <c r="E63" i="6"/>
  <c r="G63" i="6"/>
  <c r="I63" i="6"/>
  <c r="E64" i="6"/>
  <c r="G64" i="6"/>
  <c r="I64" i="6"/>
  <c r="E65" i="6"/>
  <c r="G65" i="6"/>
  <c r="I65" i="6"/>
  <c r="H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<sst xmlns="http://schemas.openxmlformats.org/spreadsheetml/2006/main" count="47" uniqueCount="42">
  <si>
    <t>Speed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</si>
  <si>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</si>
  <si>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t>https://www.fiets.nl/2016/05/02/de-natuurkunde-van-het-fietsen/</t>
  </si>
  <si>
    <t>This page is intended to study the formula's as presented</t>
  </si>
  <si>
    <t>Weight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</si>
  <si>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</si>
  <si>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</si>
  <si>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</si>
  <si>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</si>
  <si>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</si>
  <si>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</si>
  <si>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</si>
  <si>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</si>
  <si>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</si>
  <si>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</si>
  <si>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</si>
  <si>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</si>
  <si>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</si>
  <si>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</si>
  <si>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</si>
  <si>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</si>
  <si>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</si>
  <si>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</si>
  <si>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</si>
  <si>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</si>
  <si>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</si>
  <si>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</si>
  <si>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</si>
  <si>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</si>
  <si>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</si>
  <si>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</si>
  <si>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</si>
  <si>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</si>
  <si>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</si>
  <si>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</si>
  <si>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on "fiets.nl".</t>
  </si>
  <si>
    <t>where Power = f (Grade, Weigth, Speed)</t>
  </si>
  <si>
    <t>Grade</t>
  </si>
  <si>
    <t>Formula</t>
  </si>
  <si>
    <t>TargetGrade</t>
  </si>
  <si>
    <t>==&gt; Power</t>
  </si>
  <si>
    <t>4e3f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</si>
</sst>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&quot; %&quot;"/>
    <numFmt numFmtId="165" formatCode="General\ &quot;km/hr PowerMeter&quot;"/>
    <numFmt numFmtId="166" formatCode="General\ &quot;km/hr Formula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9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1" fontId="0" fillId="3" borderId="8" xfId="0" applyNumberFormat="1" applyFill="1" applyBorder="1"/>
    <xf numFmtId="1" fontId="0" fillId="3" borderId="7" xfId="0" applyNumberFormat="1" applyFill="1" applyBorder="1"/>
    <xf numFmtId="164" fontId="2" fillId="3" borderId="6" xfId="0" applyNumberFormat="1" applyFont="1" applyFill="1" applyBorder="1"/>
    <xf numFmtId="1" fontId="0" fillId="3" borderId="5" xfId="0" applyNumberFormat="1" applyFill="1" applyBorder="1"/>
    <xf numFmtId="1" fontId="0" fillId="3" borderId="0" xfId="0" applyNumberFormat="1" applyFill="1"/>
    <xf numFmtId="164" fontId="2" fillId="3" borderId="4" xfId="0" applyNumberFormat="1" applyFont="1" applyFill="1" applyBorder="1"/>
    <xf numFmtId="0" fontId="1" fillId="3" borderId="0" xfId="0" applyFont="1" applyFill="1" applyAlignment="1">
      <alignment horizontal="right"/>
    </xf>
    <xf numFmtId="0" fontId="2" fillId="3" borderId="0" xfId="0" applyFont="1" applyFill="1"/>
    <xf numFmtId="0" fontId="2" fillId="3" borderId="3" xfId="0" applyFont="1" applyFill="1" applyBorder="1"/>
    <xf numFmtId="0" fontId="2" fillId="3" borderId="2" xfId="0" applyFont="1" applyFill="1" applyBorder="1"/>
    <xf numFmtId="0" fontId="0" fillId="3" borderId="1" xfId="0" applyFill="1" applyBorder="1"/>
    <xf numFmtId="0" fontId="2" fillId="3" borderId="0" xfId="0" applyFont="1" applyFill="1" applyAlignment="1">
      <alignment horizontal="right"/>
    </xf>
    <xf numFmtId="0" fontId="3" fillId="0" borderId="0" xfId="1"/>
    <xf numFmtId="0" fontId="4" fillId="0" borderId="0" xfId="0" applyFont="1" applyAlignment="1">
      <alignment horizontal="left" vertical="center" indent="1"/>
    </xf>
    <xf numFmtId="0" fontId="4" fillId="4" borderId="0" xfId="0" applyFont="1" applyFill="1" applyAlignment="1">
      <alignment horizontal="left" vertical="center" indent="1"/>
    </xf>
    <xf numFmtId="0" fontId="5" fillId="0" borderId="0" xfId="0" applyFont="1"/>
    <xf numFmtId="165" fontId="0" fillId="0" borderId="0" xfId="0" applyNumberFormat="1"/>
    <xf numFmtId="166" fontId="0" fillId="0" borderId="0" xfId="0" applyNumberFormat="1"/>
    <xf numFmtId="0" fontId="0" fillId="0" borderId="0" xfId="0" applyNumberFormat="1"/>
    <xf numFmtId="0" fontId="1" fillId="0" borderId="0" xfId="0" applyNumberFormat="1" applyFont="1"/>
    <xf numFmtId="0" fontId="0" fillId="0" borderId="0" xfId="0" quotePrefix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'Power4 Fiets.nl'!$F$4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Fiets.nl'!$G$4:$P$4</c:f>
              <c:numCache>
                <c:formatCode>0</c:formatCode>
                <c:ptCount val="10"/>
                <c:pt idx="0">
                  <c:v>-55.724308127572016</c:v>
                </c:pt>
                <c:pt idx="1">
                  <c:v>-107.34946502057613</c:v>
                </c:pt>
                <c:pt idx="2">
                  <c:v>-150.77631944444448</c:v>
                </c:pt>
                <c:pt idx="3">
                  <c:v>-181.90572016460905</c:v>
                </c:pt>
                <c:pt idx="4">
                  <c:v>-196.63851594650208</c:v>
                </c:pt>
                <c:pt idx="5">
                  <c:v>-190.87555555555556</c:v>
                </c:pt>
                <c:pt idx="6">
                  <c:v>-160.51768775720171</c:v>
                </c:pt>
                <c:pt idx="7">
                  <c:v>-101.46576131687243</c:v>
                </c:pt>
                <c:pt idx="8">
                  <c:v>-9.6206250000000182</c:v>
                </c:pt>
                <c:pt idx="9">
                  <c:v>119.11687242798348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1"/>
          <c:tx>
            <c:strRef>
              <c:f>'Power4 Fiets.nl'!$F$5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Fiets.nl'!$G$5:$P$5</c:f>
              <c:numCache>
                <c:formatCode>0</c:formatCode>
                <c:ptCount val="10"/>
                <c:pt idx="0">
                  <c:v>5.5881918724279842</c:v>
                </c:pt>
                <c:pt idx="1">
                  <c:v>15.275534979423869</c:v>
                </c:pt>
                <c:pt idx="2">
                  <c:v>33.161180555555561</c:v>
                </c:pt>
                <c:pt idx="3">
                  <c:v>63.34427983539095</c:v>
                </c:pt>
                <c:pt idx="4">
                  <c:v>109.92398405349796</c:v>
                </c:pt>
                <c:pt idx="5">
                  <c:v>176.99944444444449</c:v>
                </c:pt>
                <c:pt idx="6">
                  <c:v>268.66981224279829</c:v>
                </c:pt>
                <c:pt idx="7">
                  <c:v>389.03423868312757</c:v>
                </c:pt>
                <c:pt idx="8">
                  <c:v>542.19187499999998</c:v>
                </c:pt>
                <c:pt idx="9">
                  <c:v>732.24187242798359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2"/>
          <c:tx>
            <c:strRef>
              <c:f>'Power4 Fiets.nl'!$F$6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Fiets.nl'!$G$6:$P$6</c:f>
              <c:numCache>
                <c:formatCode>0</c:formatCode>
                <c:ptCount val="10"/>
                <c:pt idx="0">
                  <c:v>66.900691872427984</c:v>
                </c:pt>
                <c:pt idx="1">
                  <c:v>137.90053497942387</c:v>
                </c:pt>
                <c:pt idx="2">
                  <c:v>217.09868055555557</c:v>
                </c:pt>
                <c:pt idx="3">
                  <c:v>308.59427983539092</c:v>
                </c:pt>
                <c:pt idx="4">
                  <c:v>416.48648405349803</c:v>
                </c:pt>
                <c:pt idx="5">
                  <c:v>544.87444444444452</c:v>
                </c:pt>
                <c:pt idx="6">
                  <c:v>697.85731224279834</c:v>
                </c:pt>
                <c:pt idx="7">
                  <c:v>879.53423868312757</c:v>
                </c:pt>
                <c:pt idx="8">
                  <c:v>1094.004375</c:v>
                </c:pt>
                <c:pt idx="9">
                  <c:v>1345.3668724279837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3"/>
          <c:tx>
            <c:strRef>
              <c:f>'Power4 Fiets.nl'!$F$7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Fiets.nl'!$G$7:$P$7</c:f>
              <c:numCache>
                <c:formatCode>0</c:formatCode>
                <c:ptCount val="10"/>
                <c:pt idx="0">
                  <c:v>128.21319187242798</c:v>
                </c:pt>
                <c:pt idx="1">
                  <c:v>260.52553497942387</c:v>
                </c:pt>
                <c:pt idx="2">
                  <c:v>401.03618055555563</c:v>
                </c:pt>
                <c:pt idx="3">
                  <c:v>553.84427983539092</c:v>
                </c:pt>
                <c:pt idx="4">
                  <c:v>723.04898405349809</c:v>
                </c:pt>
                <c:pt idx="5">
                  <c:v>912.74944444444463</c:v>
                </c:pt>
                <c:pt idx="6">
                  <c:v>1127.0448122427983</c:v>
                </c:pt>
                <c:pt idx="7">
                  <c:v>1370.0342386831276</c:v>
                </c:pt>
                <c:pt idx="8">
                  <c:v>1645.816875</c:v>
                </c:pt>
                <c:pt idx="9">
                  <c:v>1958.4918724279837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iMagic!$E$1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iMagic!$F$1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iMagic!$G$1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iMagic!$E$29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iMagic!$F$29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iMagic!$E$49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iMagic!$E$50:$E$65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iMagic!$F$49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iMagic!$G$49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iMagic!$G$50:$G$65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iMagic!$H$49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iMagic!$I$49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iMagic!$I$50:$I$65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643331654226331E-2"/>
          <c:y val="0.86753164945290928"/>
          <c:w val="0.89113609718854392"/>
          <c:h val="0.11168912976786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8</xdr:row>
      <xdr:rowOff>0</xdr:rowOff>
    </xdr:from>
    <xdr:to>
      <xdr:col>16</xdr:col>
      <xdr:colOff>160020</xdr:colOff>
      <xdr:row>29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48</xdr:row>
      <xdr:rowOff>19050</xdr:rowOff>
    </xdr:from>
    <xdr:to>
      <xdr:col>18</xdr:col>
      <xdr:colOff>152400</xdr:colOff>
      <xdr:row>63</xdr:row>
      <xdr:rowOff>28576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iets.nl/2016/05/02/de-natuurkunde-van-het-fietse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0"/>
  <sheetViews>
    <sheetView tabSelected="1" workbookViewId="0"/>
  </sheetViews>
  <sheetFormatPr defaultRowHeight="15" x14ac:dyDescent="0.25"/>
  <cols>
    <col min="1" max="1" width="1.7109375" customWidth="1"/>
    <col min="2" max="2" width="7.140625" style="1" bestFit="1" customWidth="1"/>
    <col min="3" max="3" width="5" style="1" bestFit="1" customWidth="1"/>
    <col min="4" max="4" width="6.28515625" style="1" bestFit="1" customWidth="1"/>
    <col min="5" max="5" width="8.28515625" style="1" bestFit="1" customWidth="1"/>
    <col min="6" max="17" width="5.7109375" customWidth="1"/>
    <col min="18" max="18" width="6.85546875" customWidth="1"/>
    <col min="19" max="19" width="18.140625" style="26" customWidth="1"/>
    <col min="20" max="27" width="5.7109375" style="26" customWidth="1"/>
    <col min="28" max="29" width="5.7109375" customWidth="1"/>
  </cols>
  <sheetData>
    <row r="1" spans="2:29" ht="4.1500000000000004" customHeight="1" x14ac:dyDescent="0.25"/>
    <row r="2" spans="2:29" x14ac:dyDescent="0.25">
      <c r="B2" s="5"/>
      <c r="C2" s="5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9" x14ac:dyDescent="0.25">
      <c r="B3" s="5"/>
      <c r="C3" s="5"/>
      <c r="D3" s="19" t="s">
        <v>4</v>
      </c>
      <c r="E3" s="6">
        <v>90</v>
      </c>
      <c r="F3" s="18"/>
      <c r="G3" s="17">
        <v>5</v>
      </c>
      <c r="H3" s="17">
        <v>10</v>
      </c>
      <c r="I3" s="17">
        <v>15</v>
      </c>
      <c r="J3" s="17">
        <v>20</v>
      </c>
      <c r="K3" s="17">
        <v>25</v>
      </c>
      <c r="L3" s="17">
        <v>30</v>
      </c>
      <c r="M3" s="17">
        <v>35</v>
      </c>
      <c r="N3" s="17">
        <v>40</v>
      </c>
      <c r="O3" s="17">
        <v>45</v>
      </c>
      <c r="P3" s="16">
        <v>50</v>
      </c>
      <c r="Q3" s="15" t="s">
        <v>0</v>
      </c>
      <c r="S3" s="26" t="s">
        <v>39</v>
      </c>
      <c r="T3" s="26">
        <v>0.3</v>
      </c>
      <c r="W3" s="26" t="s">
        <v>41</v>
      </c>
      <c r="X3" s="26">
        <f>HEX2DEC(W3)</f>
        <v>20031</v>
      </c>
      <c r="Y3" s="26">
        <f>X3/100-200</f>
        <v>0.31000000000000227</v>
      </c>
    </row>
    <row r="4" spans="2:29" x14ac:dyDescent="0.25">
      <c r="B4" s="5"/>
      <c r="C4" s="5"/>
      <c r="D4" s="19" t="s">
        <v>38</v>
      </c>
      <c r="E4" s="6">
        <v>1</v>
      </c>
      <c r="F4" s="13">
        <v>-5</v>
      </c>
      <c r="G4" s="12">
        <f>Grade2Power(Formula,G$3,$F4,$E$3)</f>
        <v>-55.724308127572016</v>
      </c>
      <c r="H4" s="12">
        <f>Grade2Power(Formula,H$3,$F4,$E$3)</f>
        <v>-107.34946502057613</v>
      </c>
      <c r="I4" s="12">
        <f>Grade2Power(Formula,I$3,$F4,$E$3)</f>
        <v>-150.77631944444448</v>
      </c>
      <c r="J4" s="12">
        <f>Grade2Power(Formula,J$3,$F4,$E$3)</f>
        <v>-181.90572016460905</v>
      </c>
      <c r="K4" s="12">
        <f>Grade2Power(Formula,K$3,$F4,$E$3)</f>
        <v>-196.63851594650208</v>
      </c>
      <c r="L4" s="12">
        <f>Grade2Power(Formula,L$3,$F4,$E$3)</f>
        <v>-190.87555555555556</v>
      </c>
      <c r="M4" s="12">
        <f>Grade2Power(Formula,M$3,$F4,$E$3)</f>
        <v>-160.51768775720171</v>
      </c>
      <c r="N4" s="12">
        <f>Grade2Power(Formula,N$3,$F4,$E$3)</f>
        <v>-101.46576131687243</v>
      </c>
      <c r="O4" s="12">
        <f>Grade2Power(Formula,O$3,$F4,$E$3)</f>
        <v>-9.6206250000000182</v>
      </c>
      <c r="P4" s="11">
        <f>Grade2Power(Formula,P$3,$F4,$E$3)</f>
        <v>119.11687242798348</v>
      </c>
      <c r="Q4" s="4"/>
      <c r="S4" s="26" t="s">
        <v>0</v>
      </c>
      <c r="T4" s="28">
        <v>25.3</v>
      </c>
      <c r="U4" s="28"/>
      <c r="V4" s="28"/>
      <c r="W4" s="28"/>
      <c r="X4" s="28"/>
      <c r="Y4" s="28"/>
      <c r="Z4" s="28"/>
      <c r="AA4" s="28"/>
      <c r="AB4" s="28"/>
      <c r="AC4" s="28"/>
    </row>
    <row r="5" spans="2:29" x14ac:dyDescent="0.25">
      <c r="B5" s="5"/>
      <c r="C5" s="5"/>
      <c r="D5" s="14"/>
      <c r="E5" s="5"/>
      <c r="F5" s="13">
        <v>0</v>
      </c>
      <c r="G5" s="12">
        <f>Grade2Power(Formula,G$3,$F5,$E$3)</f>
        <v>5.5881918724279842</v>
      </c>
      <c r="H5" s="12">
        <f>Grade2Power(Formula,H$3,$F5,$E$3)</f>
        <v>15.275534979423869</v>
      </c>
      <c r="I5" s="12">
        <f>Grade2Power(Formula,I$3,$F5,$E$3)</f>
        <v>33.161180555555561</v>
      </c>
      <c r="J5" s="12">
        <f>Grade2Power(Formula,J$3,$F5,$E$3)</f>
        <v>63.34427983539095</v>
      </c>
      <c r="K5" s="12">
        <f>Grade2Power(Formula,K$3,$F5,$E$3)</f>
        <v>109.92398405349796</v>
      </c>
      <c r="L5" s="12">
        <f>Grade2Power(Formula,L$3,$F5,$E$3)</f>
        <v>176.99944444444449</v>
      </c>
      <c r="M5" s="12">
        <f>Grade2Power(Formula,M$3,$F5,$E$3)</f>
        <v>268.66981224279829</v>
      </c>
      <c r="N5" s="12">
        <f>Grade2Power(Formula,N$3,$F5,$E$3)</f>
        <v>389.03423868312757</v>
      </c>
      <c r="O5" s="12">
        <f>Grade2Power(Formula,O$3,$F5,$E$3)</f>
        <v>542.19187499999998</v>
      </c>
      <c r="P5" s="11">
        <f>Grade2Power(Formula,P$3,$F5,$E$3)</f>
        <v>732.24187242798359</v>
      </c>
      <c r="Q5" s="4"/>
      <c r="S5" s="26" t="s">
        <v>4</v>
      </c>
      <c r="T5" s="28">
        <v>86</v>
      </c>
      <c r="U5" s="28"/>
      <c r="V5" s="28"/>
      <c r="W5" s="28"/>
      <c r="X5" s="28"/>
      <c r="Y5" s="28"/>
      <c r="Z5" s="28"/>
      <c r="AA5" s="28"/>
      <c r="AB5" s="28"/>
      <c r="AC5" s="28"/>
    </row>
    <row r="6" spans="2:29" x14ac:dyDescent="0.25">
      <c r="B6" s="5"/>
      <c r="C6" s="5"/>
      <c r="D6" s="5"/>
      <c r="E6" s="5"/>
      <c r="F6" s="13">
        <v>5</v>
      </c>
      <c r="G6" s="12">
        <f>Grade2Power(Formula,G$3,$F6,$E$3)</f>
        <v>66.900691872427984</v>
      </c>
      <c r="H6" s="12">
        <f>Grade2Power(Formula,H$3,$F6,$E$3)</f>
        <v>137.90053497942387</v>
      </c>
      <c r="I6" s="12">
        <f>Grade2Power(Formula,I$3,$F6,$E$3)</f>
        <v>217.09868055555557</v>
      </c>
      <c r="J6" s="12">
        <f>Grade2Power(Formula,J$3,$F6,$E$3)</f>
        <v>308.59427983539092</v>
      </c>
      <c r="K6" s="12">
        <f>Grade2Power(Formula,K$3,$F6,$E$3)</f>
        <v>416.48648405349803</v>
      </c>
      <c r="L6" s="12">
        <f>Grade2Power(Formula,L$3,$F6,$E$3)</f>
        <v>544.87444444444452</v>
      </c>
      <c r="M6" s="12">
        <f>Grade2Power(Formula,M$3,$F6,$E$3)</f>
        <v>697.85731224279834</v>
      </c>
      <c r="N6" s="12">
        <f>Grade2Power(Formula,N$3,$F6,$E$3)</f>
        <v>879.53423868312757</v>
      </c>
      <c r="O6" s="12">
        <f>Grade2Power(Formula,O$3,$F6,$E$3)</f>
        <v>1094.004375</v>
      </c>
      <c r="P6" s="11">
        <f>Grade2Power(Formula,P$3,$F6,$E$3)</f>
        <v>1345.3668724279837</v>
      </c>
      <c r="Q6" s="4"/>
      <c r="S6" s="28" t="s">
        <v>40</v>
      </c>
      <c r="T6" s="28">
        <f>Grade2Power(Formula,T4,T3,T5)</f>
        <v>130.01377240997942</v>
      </c>
      <c r="U6" s="28"/>
      <c r="V6" s="28"/>
      <c r="W6" s="28"/>
      <c r="X6" s="28"/>
      <c r="Y6" s="28"/>
      <c r="Z6" s="28"/>
      <c r="AA6" s="28"/>
      <c r="AB6" s="28"/>
      <c r="AC6" s="28"/>
    </row>
    <row r="7" spans="2:29" x14ac:dyDescent="0.25">
      <c r="B7" s="5"/>
      <c r="C7" s="5"/>
      <c r="D7" s="5"/>
      <c r="E7" s="7" t="s">
        <v>37</v>
      </c>
      <c r="F7" s="10">
        <v>10</v>
      </c>
      <c r="G7" s="9">
        <f>Grade2Power(Formula,G$3,$F7,$E$3)</f>
        <v>128.21319187242798</v>
      </c>
      <c r="H7" s="9">
        <f>Grade2Power(Formula,H$3,$F7,$E$3)</f>
        <v>260.52553497942387</v>
      </c>
      <c r="I7" s="9">
        <f>Grade2Power(Formula,I$3,$F7,$E$3)</f>
        <v>401.03618055555563</v>
      </c>
      <c r="J7" s="9">
        <f>Grade2Power(Formula,J$3,$F7,$E$3)</f>
        <v>553.84427983539092</v>
      </c>
      <c r="K7" s="9">
        <f>Grade2Power(Formula,K$3,$F7,$E$3)</f>
        <v>723.04898405349809</v>
      </c>
      <c r="L7" s="9">
        <f>Grade2Power(Formula,L$3,$F7,$E$3)</f>
        <v>912.74944444444463</v>
      </c>
      <c r="M7" s="9">
        <f>Grade2Power(Formula,M$3,$F7,$E$3)</f>
        <v>1127.0448122427983</v>
      </c>
      <c r="N7" s="9">
        <f>Grade2Power(Formula,N$3,$F7,$E$3)</f>
        <v>1370.0342386831276</v>
      </c>
      <c r="O7" s="9">
        <f>Grade2Power(Formula,O$3,$F7,$E$3)</f>
        <v>1645.816875</v>
      </c>
      <c r="P7" s="8">
        <f>Grade2Power(Formula,P$3,$F7,$E$3)</f>
        <v>1958.4918724279837</v>
      </c>
      <c r="Q7" s="4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9" spans="2:29" x14ac:dyDescent="0.25">
      <c r="R9" t="s">
        <v>3</v>
      </c>
    </row>
    <row r="10" spans="2:29" x14ac:dyDescent="0.25">
      <c r="R10" t="s">
        <v>35</v>
      </c>
    </row>
    <row r="11" spans="2:29" x14ac:dyDescent="0.25">
      <c r="R11" s="20" t="s">
        <v>2</v>
      </c>
    </row>
    <row r="13" spans="2:29" x14ac:dyDescent="0.25">
      <c r="R13" t="s">
        <v>1</v>
      </c>
      <c r="S13" s="27"/>
      <c r="T13" s="27"/>
      <c r="U13" s="27"/>
    </row>
    <row r="14" spans="2:29" x14ac:dyDescent="0.25">
      <c r="R14" t="s">
        <v>36</v>
      </c>
    </row>
    <row r="21" spans="18:18" x14ac:dyDescent="0.25">
      <c r="R21" s="2"/>
    </row>
    <row r="23" spans="18:18" x14ac:dyDescent="0.25">
      <c r="R23" s="2"/>
    </row>
    <row r="26" spans="18:18" x14ac:dyDescent="0.25">
      <c r="R26" s="3"/>
    </row>
    <row r="27" spans="18:18" x14ac:dyDescent="0.25">
      <c r="R27" s="2"/>
    </row>
    <row r="28" spans="18:18" x14ac:dyDescent="0.25">
      <c r="R28" s="2"/>
    </row>
    <row r="29" spans="18:18" x14ac:dyDescent="0.25">
      <c r="R29" s="2"/>
    </row>
    <row r="30" spans="18:18" x14ac:dyDescent="0.25">
      <c r="R30" s="2"/>
    </row>
  </sheetData>
  <hyperlinks>
    <hyperlink ref="R11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5" x14ac:dyDescent="0.25"/>
  <cols>
    <col min="2" max="2" width="41.28515625" bestFit="1" customWidth="1"/>
    <col min="3" max="3" width="7.42578125" bestFit="1" customWidth="1"/>
    <col min="4" max="9" width="5.7109375" customWidth="1"/>
  </cols>
  <sheetData>
    <row r="1" spans="2:8" x14ac:dyDescent="0.25">
      <c r="B1" s="21" t="s">
        <v>5</v>
      </c>
      <c r="D1" t="s">
        <v>31</v>
      </c>
      <c r="E1" t="s">
        <v>32</v>
      </c>
      <c r="F1" t="s">
        <v>33</v>
      </c>
      <c r="G1" t="s">
        <v>34</v>
      </c>
    </row>
    <row r="2" spans="2:8" x14ac:dyDescent="0.25">
      <c r="B2" s="21" t="s">
        <v>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25">
      <c r="B3" s="21" t="s">
        <v>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25">
      <c r="B4" s="21" t="s">
        <v>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25">
      <c r="B5" s="21" t="s">
        <v>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25">
      <c r="B6" s="21" t="s">
        <v>10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25">
      <c r="B7" s="21" t="s">
        <v>11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23"/>
    </row>
    <row r="8" spans="2:8" x14ac:dyDescent="0.25">
      <c r="B8" s="21" t="s">
        <v>12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23"/>
    </row>
    <row r="9" spans="2:8" x14ac:dyDescent="0.25">
      <c r="B9" s="21" t="s">
        <v>13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23"/>
    </row>
    <row r="10" spans="2:8" x14ac:dyDescent="0.25">
      <c r="B10" s="21" t="s">
        <v>14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23"/>
    </row>
    <row r="11" spans="2:8" x14ac:dyDescent="0.25">
      <c r="B11" s="21" t="s">
        <v>15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25">
      <c r="B12" s="21" t="s">
        <v>16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23"/>
    </row>
    <row r="13" spans="2:8" x14ac:dyDescent="0.25">
      <c r="B13" s="21" t="s">
        <v>17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23"/>
    </row>
    <row r="14" spans="2:8" x14ac:dyDescent="0.25">
      <c r="B14" s="21" t="s">
        <v>18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23"/>
    </row>
    <row r="15" spans="2:8" x14ac:dyDescent="0.25">
      <c r="B15" s="21" t="s">
        <v>19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23"/>
    </row>
    <row r="16" spans="2:8" x14ac:dyDescent="0.25">
      <c r="B16" s="21" t="s">
        <v>20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25">
      <c r="B17" s="21" t="s">
        <v>21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23"/>
    </row>
    <row r="18" spans="2:7" x14ac:dyDescent="0.25">
      <c r="B18" s="21" t="s">
        <v>22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23"/>
    </row>
    <row r="19" spans="2:7" x14ac:dyDescent="0.25">
      <c r="B19" s="21" t="s">
        <v>23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23"/>
    </row>
    <row r="20" spans="2:7" x14ac:dyDescent="0.25">
      <c r="B20" s="21" t="s">
        <v>24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23"/>
    </row>
    <row r="21" spans="2:7" x14ac:dyDescent="0.25">
      <c r="B21" s="21" t="s">
        <v>25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25">
      <c r="B22" s="21" t="s">
        <v>26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25">
      <c r="B23" s="21" t="s">
        <v>27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25">
      <c r="B24" s="21" t="s">
        <v>28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25">
      <c r="B25" s="21" t="s">
        <v>29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25">
      <c r="B26" s="22" t="s">
        <v>30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25">
      <c r="D29" t="s">
        <v>31</v>
      </c>
      <c r="E29" t="s">
        <v>32</v>
      </c>
      <c r="F29" t="s">
        <v>33</v>
      </c>
    </row>
    <row r="30" spans="2:7" x14ac:dyDescent="0.25">
      <c r="C30">
        <v>50</v>
      </c>
      <c r="D30">
        <v>32</v>
      </c>
      <c r="E30">
        <v>89</v>
      </c>
      <c r="F30">
        <v>140</v>
      </c>
    </row>
    <row r="31" spans="2:7" x14ac:dyDescent="0.25">
      <c r="C31">
        <v>60</v>
      </c>
      <c r="D31">
        <v>34</v>
      </c>
      <c r="E31">
        <v>93</v>
      </c>
      <c r="F31">
        <v>150</v>
      </c>
    </row>
    <row r="32" spans="2:7" x14ac:dyDescent="0.25">
      <c r="C32">
        <v>70</v>
      </c>
      <c r="D32">
        <v>35</v>
      </c>
      <c r="E32">
        <v>100</v>
      </c>
      <c r="F32">
        <v>160</v>
      </c>
    </row>
    <row r="33" spans="3:6" x14ac:dyDescent="0.25">
      <c r="C33">
        <v>80</v>
      </c>
      <c r="D33">
        <v>38</v>
      </c>
      <c r="E33">
        <v>105</v>
      </c>
      <c r="F33">
        <v>170</v>
      </c>
    </row>
    <row r="34" spans="3:6" x14ac:dyDescent="0.25">
      <c r="C34">
        <v>90</v>
      </c>
      <c r="D34">
        <v>40</v>
      </c>
      <c r="E34">
        <v>112</v>
      </c>
      <c r="F34">
        <v>193</v>
      </c>
    </row>
    <row r="35" spans="3:6" x14ac:dyDescent="0.25">
      <c r="C35">
        <v>100</v>
      </c>
      <c r="D35">
        <v>42</v>
      </c>
      <c r="E35">
        <v>128</v>
      </c>
      <c r="F35">
        <v>210</v>
      </c>
    </row>
    <row r="36" spans="3:6" x14ac:dyDescent="0.25">
      <c r="C36">
        <v>110</v>
      </c>
      <c r="D36">
        <v>48</v>
      </c>
      <c r="E36">
        <v>139</v>
      </c>
      <c r="F36">
        <v>230</v>
      </c>
    </row>
    <row r="37" spans="3:6" x14ac:dyDescent="0.25">
      <c r="C37">
        <v>120</v>
      </c>
      <c r="D37">
        <v>50</v>
      </c>
      <c r="E37">
        <v>142</v>
      </c>
      <c r="F37">
        <v>235</v>
      </c>
    </row>
    <row r="38" spans="3:6" x14ac:dyDescent="0.25">
      <c r="C38">
        <v>130</v>
      </c>
      <c r="D38">
        <v>50</v>
      </c>
      <c r="E38">
        <v>145</v>
      </c>
      <c r="F38">
        <v>245</v>
      </c>
    </row>
    <row r="39" spans="3:6" x14ac:dyDescent="0.25">
      <c r="C39">
        <v>140</v>
      </c>
      <c r="D39">
        <v>52</v>
      </c>
      <c r="E39">
        <v>152</v>
      </c>
      <c r="F39">
        <v>250</v>
      </c>
    </row>
    <row r="40" spans="3:6" x14ac:dyDescent="0.25">
      <c r="C40">
        <v>150</v>
      </c>
      <c r="D40">
        <v>58</v>
      </c>
      <c r="E40">
        <v>162</v>
      </c>
      <c r="F40">
        <v>265</v>
      </c>
    </row>
    <row r="41" spans="3:6" x14ac:dyDescent="0.25">
      <c r="C41">
        <v>160</v>
      </c>
      <c r="D41">
        <v>60</v>
      </c>
      <c r="E41">
        <v>180</v>
      </c>
      <c r="F41">
        <v>285</v>
      </c>
    </row>
    <row r="42" spans="3:6" x14ac:dyDescent="0.25">
      <c r="C42">
        <v>170</v>
      </c>
      <c r="D42">
        <v>65</v>
      </c>
      <c r="E42">
        <v>190</v>
      </c>
      <c r="F42">
        <v>310</v>
      </c>
    </row>
    <row r="43" spans="3:6" x14ac:dyDescent="0.25">
      <c r="C43">
        <v>180</v>
      </c>
      <c r="D43">
        <v>68</v>
      </c>
      <c r="E43">
        <v>198</v>
      </c>
      <c r="F43">
        <v>332</v>
      </c>
    </row>
    <row r="44" spans="3:6" x14ac:dyDescent="0.25">
      <c r="C44">
        <v>190</v>
      </c>
      <c r="D44">
        <v>70</v>
      </c>
      <c r="E44">
        <v>207</v>
      </c>
      <c r="F44">
        <v>340</v>
      </c>
    </row>
    <row r="45" spans="3:6" x14ac:dyDescent="0.25">
      <c r="C45">
        <v>200</v>
      </c>
      <c r="D45">
        <v>72</v>
      </c>
      <c r="E45">
        <v>207</v>
      </c>
      <c r="F45">
        <v>365</v>
      </c>
    </row>
    <row r="49" spans="3:9" x14ac:dyDescent="0.25">
      <c r="D49" s="24">
        <v>10</v>
      </c>
      <c r="E49" s="25">
        <v>10</v>
      </c>
      <c r="F49" s="24">
        <v>20</v>
      </c>
      <c r="G49" s="25">
        <v>20</v>
      </c>
      <c r="H49" s="24">
        <v>30</v>
      </c>
      <c r="I49" s="25">
        <v>30</v>
      </c>
    </row>
    <row r="50" spans="3:9" x14ac:dyDescent="0.25">
      <c r="C50">
        <v>50</v>
      </c>
      <c r="D50">
        <v>32</v>
      </c>
      <c r="E50" t="e" cm="1">
        <f t="array" aca="1" ref="E50" ca="1">Resistance2PowerLegacy($C50, E$49)</f>
        <v>#NAME?</v>
      </c>
      <c r="F50">
        <v>89</v>
      </c>
      <c r="G50" t="e" cm="1">
        <f t="array" aca="1" ref="G50" ca="1">Resistance2PowerLegacy($C50, G$49)</f>
        <v>#NAME?</v>
      </c>
      <c r="H50">
        <v>140</v>
      </c>
      <c r="I50" t="e" cm="1">
        <f t="array" aca="1" ref="I50" ca="1">Resistance2PowerLegacy($C50, I$49)</f>
        <v>#NAME?</v>
      </c>
    </row>
    <row r="51" spans="3:9" x14ac:dyDescent="0.25">
      <c r="C51">
        <v>60</v>
      </c>
      <c r="D51">
        <v>34</v>
      </c>
      <c r="E51" t="e" cm="1">
        <f t="array" aca="1" ref="E51" ca="1">Resistance2PowerLegacy($C51, E$49)</f>
        <v>#NAME?</v>
      </c>
      <c r="F51">
        <v>93</v>
      </c>
      <c r="G51" t="e" cm="1">
        <f t="array" aca="1" ref="G51" ca="1">Resistance2PowerLegacy($C51, G$49)</f>
        <v>#NAME?</v>
      </c>
      <c r="H51">
        <v>150</v>
      </c>
      <c r="I51" t="e" cm="1">
        <f t="array" aca="1" ref="I51" ca="1">Resistance2PowerLegacy($C51, I$49)</f>
        <v>#NAME?</v>
      </c>
    </row>
    <row r="52" spans="3:9" x14ac:dyDescent="0.25">
      <c r="C52">
        <v>70</v>
      </c>
      <c r="D52">
        <v>35</v>
      </c>
      <c r="E52" t="e" cm="1">
        <f t="array" aca="1" ref="E52" ca="1">Resistance2PowerLegacy($C52, E$49)</f>
        <v>#NAME?</v>
      </c>
      <c r="F52">
        <v>100</v>
      </c>
      <c r="G52" t="e" cm="1">
        <f t="array" aca="1" ref="G52" ca="1">Resistance2PowerLegacy($C52, G$49)</f>
        <v>#NAME?</v>
      </c>
      <c r="H52">
        <v>160</v>
      </c>
      <c r="I52" t="e" cm="1">
        <f t="array" aca="1" ref="I52" ca="1">Resistance2PowerLegacy($C52, I$49)</f>
        <v>#NAME?</v>
      </c>
    </row>
    <row r="53" spans="3:9" x14ac:dyDescent="0.25">
      <c r="C53">
        <v>80</v>
      </c>
      <c r="D53">
        <v>38</v>
      </c>
      <c r="E53" t="e" cm="1">
        <f t="array" aca="1" ref="E53" ca="1">Resistance2PowerLegacy($C53, E$49)</f>
        <v>#NAME?</v>
      </c>
      <c r="F53">
        <v>105</v>
      </c>
      <c r="G53" t="e" cm="1">
        <f t="array" aca="1" ref="G53" ca="1">Resistance2PowerLegacy($C53, G$49)</f>
        <v>#NAME?</v>
      </c>
      <c r="H53">
        <v>170</v>
      </c>
      <c r="I53" t="e" cm="1">
        <f t="array" aca="1" ref="I53" ca="1">Resistance2PowerLegacy($C53, I$49)</f>
        <v>#NAME?</v>
      </c>
    </row>
    <row r="54" spans="3:9" x14ac:dyDescent="0.25">
      <c r="C54">
        <v>90</v>
      </c>
      <c r="D54">
        <v>40</v>
      </c>
      <c r="E54" t="e" cm="1">
        <f t="array" aca="1" ref="E54" ca="1">Resistance2PowerLegacy($C54, E$49)</f>
        <v>#NAME?</v>
      </c>
      <c r="F54">
        <v>112</v>
      </c>
      <c r="G54" t="e" cm="1">
        <f t="array" aca="1" ref="G54" ca="1">Resistance2PowerLegacy($C54, G$49)</f>
        <v>#NAME?</v>
      </c>
      <c r="H54">
        <v>193</v>
      </c>
      <c r="I54" t="e" cm="1">
        <f t="array" aca="1" ref="I54" ca="1">Resistance2PowerLegacy($C54, I$49)</f>
        <v>#NAME?</v>
      </c>
    </row>
    <row r="55" spans="3:9" x14ac:dyDescent="0.25">
      <c r="C55">
        <v>100</v>
      </c>
      <c r="D55">
        <v>42</v>
      </c>
      <c r="E55" t="e" cm="1">
        <f t="array" aca="1" ref="E55" ca="1">Resistance2PowerLegacy($C55, E$49)</f>
        <v>#NAME?</v>
      </c>
      <c r="F55">
        <v>128</v>
      </c>
      <c r="G55" t="e" cm="1">
        <f t="array" aca="1" ref="G55" ca="1">Resistance2PowerLegacy($C55, G$49)</f>
        <v>#NAME?</v>
      </c>
      <c r="H55">
        <v>210</v>
      </c>
      <c r="I55" t="e" cm="1">
        <f t="array" aca="1" ref="I55" ca="1">Resistance2PowerLegacy($C55, I$49)</f>
        <v>#NAME?</v>
      </c>
    </row>
    <row r="56" spans="3:9" x14ac:dyDescent="0.25">
      <c r="C56">
        <v>110</v>
      </c>
      <c r="D56">
        <v>48</v>
      </c>
      <c r="E56" t="e" cm="1">
        <f t="array" aca="1" ref="E56" ca="1">Resistance2PowerLegacy($C56, E$49)</f>
        <v>#NAME?</v>
      </c>
      <c r="F56">
        <v>139</v>
      </c>
      <c r="G56" t="e" cm="1">
        <f t="array" aca="1" ref="G56" ca="1">Resistance2PowerLegacy($C56, G$49)</f>
        <v>#NAME?</v>
      </c>
      <c r="H56">
        <v>230</v>
      </c>
      <c r="I56" t="e" cm="1">
        <f t="array" aca="1" ref="I56" ca="1">Resistance2PowerLegacy($C56, I$49)</f>
        <v>#NAME?</v>
      </c>
    </row>
    <row r="57" spans="3:9" x14ac:dyDescent="0.25">
      <c r="C57">
        <v>120</v>
      </c>
      <c r="D57">
        <v>50</v>
      </c>
      <c r="E57" t="e" cm="1">
        <f t="array" aca="1" ref="E57" ca="1">Resistance2PowerLegacy($C57, E$49)</f>
        <v>#NAME?</v>
      </c>
      <c r="F57">
        <v>142</v>
      </c>
      <c r="G57" t="e" cm="1">
        <f t="array" aca="1" ref="G57" ca="1">Resistance2PowerLegacy($C57, G$49)</f>
        <v>#NAME?</v>
      </c>
      <c r="H57">
        <v>235</v>
      </c>
      <c r="I57" t="e" cm="1">
        <f t="array" aca="1" ref="I57" ca="1">Resistance2PowerLegacy($C57, I$49)</f>
        <v>#NAME?</v>
      </c>
    </row>
    <row r="58" spans="3:9" x14ac:dyDescent="0.25">
      <c r="C58">
        <v>130</v>
      </c>
      <c r="D58">
        <v>50</v>
      </c>
      <c r="E58" t="e" cm="1">
        <f t="array" aca="1" ref="E58" ca="1">Resistance2PowerLegacy($C58, E$49)</f>
        <v>#NAME?</v>
      </c>
      <c r="F58">
        <v>145</v>
      </c>
      <c r="G58" t="e" cm="1">
        <f t="array" aca="1" ref="G58" ca="1">Resistance2PowerLegacy($C58, G$49)</f>
        <v>#NAME?</v>
      </c>
      <c r="H58">
        <v>245</v>
      </c>
      <c r="I58" t="e" cm="1">
        <f t="array" aca="1" ref="I58" ca="1">Resistance2PowerLegacy($C58, I$49)</f>
        <v>#NAME?</v>
      </c>
    </row>
    <row r="59" spans="3:9" x14ac:dyDescent="0.25">
      <c r="C59">
        <v>140</v>
      </c>
      <c r="D59">
        <v>52</v>
      </c>
      <c r="E59" t="e" cm="1">
        <f t="array" aca="1" ref="E59" ca="1">Resistance2PowerLegacy($C59, E$49)</f>
        <v>#NAME?</v>
      </c>
      <c r="F59">
        <v>152</v>
      </c>
      <c r="G59" t="e" cm="1">
        <f t="array" aca="1" ref="G59" ca="1">Resistance2PowerLegacy($C59, G$49)</f>
        <v>#NAME?</v>
      </c>
      <c r="H59">
        <v>250</v>
      </c>
      <c r="I59" t="e" cm="1">
        <f t="array" aca="1" ref="I59" ca="1">Resistance2PowerLegacy($C59, I$49)</f>
        <v>#NAME?</v>
      </c>
    </row>
    <row r="60" spans="3:9" x14ac:dyDescent="0.25">
      <c r="C60">
        <v>150</v>
      </c>
      <c r="D60">
        <v>58</v>
      </c>
      <c r="E60" t="e" cm="1">
        <f t="array" aca="1" ref="E60" ca="1">Resistance2PowerLegacy($C60, E$49)</f>
        <v>#NAME?</v>
      </c>
      <c r="F60">
        <v>162</v>
      </c>
      <c r="G60" t="e" cm="1">
        <f t="array" aca="1" ref="G60" ca="1">Resistance2PowerLegacy($C60, G$49)</f>
        <v>#NAME?</v>
      </c>
      <c r="H60">
        <v>265</v>
      </c>
      <c r="I60" t="e" cm="1">
        <f t="array" aca="1" ref="I60" ca="1">Resistance2PowerLegacy($C60, I$49)</f>
        <v>#NAME?</v>
      </c>
    </row>
    <row r="61" spans="3:9" x14ac:dyDescent="0.25">
      <c r="C61">
        <v>160</v>
      </c>
      <c r="D61">
        <v>60</v>
      </c>
      <c r="E61" t="e" cm="1">
        <f t="array" aca="1" ref="E61" ca="1">Resistance2PowerLegacy($C61, E$49)</f>
        <v>#NAME?</v>
      </c>
      <c r="F61">
        <v>180</v>
      </c>
      <c r="G61" t="e" cm="1">
        <f t="array" aca="1" ref="G61" ca="1">Resistance2PowerLegacy($C61, G$49)</f>
        <v>#NAME?</v>
      </c>
      <c r="H61">
        <v>285</v>
      </c>
      <c r="I61" t="e" cm="1">
        <f t="array" aca="1" ref="I61" ca="1">Resistance2PowerLegacy($C61, I$49)</f>
        <v>#NAME?</v>
      </c>
    </row>
    <row r="62" spans="3:9" x14ac:dyDescent="0.25">
      <c r="C62">
        <v>170</v>
      </c>
      <c r="D62">
        <v>65</v>
      </c>
      <c r="E62" t="e" cm="1">
        <f t="array" aca="1" ref="E62" ca="1">Resistance2PowerLegacy($C62, E$49)</f>
        <v>#NAME?</v>
      </c>
      <c r="F62">
        <v>190</v>
      </c>
      <c r="G62" t="e" cm="1">
        <f t="array" aca="1" ref="G62" ca="1">Resistance2PowerLegacy($C62, G$49)</f>
        <v>#NAME?</v>
      </c>
      <c r="H62">
        <v>310</v>
      </c>
      <c r="I62" t="e" cm="1">
        <f t="array" aca="1" ref="I62" ca="1">Resistance2PowerLegacy($C62, I$49)</f>
        <v>#NAME?</v>
      </c>
    </row>
    <row r="63" spans="3:9" x14ac:dyDescent="0.25">
      <c r="C63">
        <v>180</v>
      </c>
      <c r="D63">
        <v>68</v>
      </c>
      <c r="E63" t="e" cm="1">
        <f t="array" aca="1" ref="E63" ca="1">Resistance2PowerLegacy($C63, E$49)</f>
        <v>#NAME?</v>
      </c>
      <c r="F63">
        <v>198</v>
      </c>
      <c r="G63" t="e" cm="1">
        <f t="array" aca="1" ref="G63" ca="1">Resistance2PowerLegacy($C63, G$49)</f>
        <v>#NAME?</v>
      </c>
      <c r="H63">
        <v>332</v>
      </c>
      <c r="I63" t="e" cm="1">
        <f t="array" aca="1" ref="I63" ca="1">Resistance2PowerLegacy($C63, I$49)</f>
        <v>#NAME?</v>
      </c>
    </row>
    <row r="64" spans="3:9" x14ac:dyDescent="0.25">
      <c r="C64">
        <v>190</v>
      </c>
      <c r="D64">
        <v>70</v>
      </c>
      <c r="E64" t="e" cm="1">
        <f t="array" aca="1" ref="E64" ca="1">Resistance2PowerLegacy($C64, E$49)</f>
        <v>#NAME?</v>
      </c>
      <c r="F64">
        <v>207</v>
      </c>
      <c r="G64" t="e" cm="1">
        <f t="array" aca="1" ref="G64" ca="1">Resistance2PowerLegacy($C64, G$49)</f>
        <v>#NAME?</v>
      </c>
      <c r="H64">
        <v>340</v>
      </c>
      <c r="I64" t="e" cm="1">
        <f t="array" aca="1" ref="I64" ca="1">Resistance2PowerLegacy($C64, I$49)</f>
        <v>#NAME?</v>
      </c>
    </row>
    <row r="65" spans="3:9" x14ac:dyDescent="0.25">
      <c r="C65">
        <v>200</v>
      </c>
      <c r="D65">
        <v>72</v>
      </c>
      <c r="E65" t="e" cm="1">
        <f t="array" aca="1" ref="E65" ca="1">Resistance2PowerLegacy($C65, E$49)</f>
        <v>#NAME?</v>
      </c>
      <c r="F65">
        <v>207</v>
      </c>
      <c r="G65" t="e" cm="1">
        <f t="array" aca="1" ref="G65" ca="1">Resistance2PowerLegacy($C65, G$49)</f>
        <v>#NAME?</v>
      </c>
      <c r="H65">
        <v>365</v>
      </c>
      <c r="I65" t="e" cm="1">
        <f t="array" aca="1" ref="I65" ca="1">Resistance2PowerLegacy($C65, I$49)</f>
        <v>#NAME?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Power4 Fiets.nl</vt:lpstr>
      <vt:lpstr>iMagic</vt:lpstr>
      <vt:lpstr>Formula</vt:lpstr>
      <vt:lpstr>'Power4 Fiets.nl'!Print_Area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2020-05-14T22:32:56Z</dcterms:modified>
</cp:coreProperties>
</file>