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430AC021-B190-4E20-B6F0-1B7E4439B3B6}" xr6:coauthVersionLast="45" xr6:coauthVersionMax="45" xr10:uidLastSave="{00000000-0000-0000-0000-000000000000}"/>
  <bookViews>
    <workbookView xWindow="2352" yWindow="-108" windowWidth="20796" windowHeight="13176" activeTab="3" xr2:uid="{3CA8E08F-96E3-47C9-97C1-177906E9D84F}"/>
  </bookViews>
  <sheets>
    <sheet name="Powercurve" sheetId="4" r:id="rId1"/>
    <sheet name="Speed To Power" sheetId="5" r:id="rId2"/>
    <sheet name="iMagic T1901+T1902" sheetId="6" r:id="rId3"/>
    <sheet name="iFlow T1901+T1932" sheetId="7" r:id="rId4"/>
    <sheet name="Res2Pwr" sheetId="8" r:id="rId5"/>
    <sheet name="Spd2Pwr" sheetId="9" r:id="rId6"/>
  </sheets>
  <functionGroups builtInGroupCount="19"/>
  <externalReferences>
    <externalReference r:id="rId7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1" i="7" l="1"/>
  <c r="A41" i="7" l="1"/>
  <c r="A30" i="7"/>
  <c r="B30" i="7" s="1"/>
  <c r="B29" i="7"/>
  <c r="B41" i="7" s="1"/>
  <c r="K29" i="7"/>
  <c r="L30" i="7"/>
  <c r="E29" i="7"/>
  <c r="H29" i="7"/>
  <c r="H30" i="7"/>
  <c r="J30" i="7"/>
  <c r="I29" i="7"/>
  <c r="G30" i="7"/>
  <c r="M30" i="7"/>
  <c r="E30" i="7"/>
  <c r="K30" i="7"/>
  <c r="I30" i="7"/>
  <c r="F30" i="7"/>
  <c r="D29" i="7"/>
  <c r="F29" i="7"/>
  <c r="J29" i="7"/>
  <c r="G29" i="7"/>
  <c r="D30" i="7"/>
  <c r="L29" i="7"/>
  <c r="M29" i="7"/>
  <c r="A31" i="7" l="1"/>
  <c r="B31" i="7" s="1"/>
  <c r="A42" i="7"/>
  <c r="B42" i="7"/>
  <c r="Q25" i="7" a="1"/>
  <c r="I31" i="7"/>
  <c r="I41" i="7" a="1"/>
  <c r="E41" i="7" a="1"/>
  <c r="D31" i="7"/>
  <c r="J41" i="7" a="1"/>
  <c r="L31" i="7"/>
  <c r="D41" i="7" a="1"/>
  <c r="H31" i="7"/>
  <c r="K31" i="7"/>
  <c r="L41" i="7" a="1"/>
  <c r="F31" i="7"/>
  <c r="G31" i="7"/>
  <c r="M41" i="7" a="1"/>
  <c r="E31" i="7"/>
  <c r="F41" i="7" a="1"/>
  <c r="K41" i="7" a="1"/>
  <c r="J31" i="7"/>
  <c r="H41" i="7" a="1"/>
  <c r="G41" i="7" a="1"/>
  <c r="M31" i="7"/>
  <c r="A32" i="7" l="1"/>
  <c r="B32" i="7" s="1"/>
  <c r="A43" i="7"/>
  <c r="B43" i="7"/>
  <c r="K41" i="7"/>
  <c r="G41" i="7"/>
  <c r="F41" i="7"/>
  <c r="M41" i="7"/>
  <c r="L41" i="7"/>
  <c r="D41" i="7"/>
  <c r="J41" i="7"/>
  <c r="I41" i="7"/>
  <c r="E41" i="7"/>
  <c r="H41" i="7"/>
  <c r="Q25" i="7"/>
  <c r="P25" i="7" a="1"/>
  <c r="D32" i="7"/>
  <c r="E32" i="7"/>
  <c r="I42" i="7" a="1"/>
  <c r="G32" i="7"/>
  <c r="K32" i="7"/>
  <c r="J42" i="7" a="1"/>
  <c r="F32" i="7"/>
  <c r="M32" i="7"/>
  <c r="J32" i="7"/>
  <c r="L43" i="7" a="1"/>
  <c r="L32" i="7"/>
  <c r="I32" i="7"/>
  <c r="H32" i="7"/>
  <c r="A33" i="7" l="1"/>
  <c r="B33" i="7" s="1"/>
  <c r="A44" i="7"/>
  <c r="B44" i="7"/>
  <c r="F33" i="7"/>
  <c r="K33" i="7"/>
  <c r="E33" i="7"/>
  <c r="D33" i="7"/>
  <c r="M33" i="7"/>
  <c r="G33" i="7"/>
  <c r="H33" i="7"/>
  <c r="K42" i="7" a="1"/>
  <c r="L33" i="7"/>
  <c r="I33" i="7"/>
  <c r="J33" i="7"/>
  <c r="K43" i="7" a="1"/>
  <c r="A34" i="7" l="1"/>
  <c r="B34" i="7" s="1"/>
  <c r="A45" i="7"/>
  <c r="B45" i="7"/>
  <c r="I34" i="7"/>
  <c r="D43" i="7" a="1"/>
  <c r="F34" i="7"/>
  <c r="G34" i="7"/>
  <c r="J34" i="7"/>
  <c r="D34" i="7"/>
  <c r="K34" i="7"/>
  <c r="M34" i="7"/>
  <c r="E34" i="7"/>
  <c r="H34" i="7"/>
  <c r="H42" i="7" a="1"/>
  <c r="L34" i="7"/>
  <c r="A35" i="7" l="1"/>
  <c r="B35" i="7" s="1"/>
  <c r="A46" i="7"/>
  <c r="B46" i="7"/>
  <c r="K35" i="7"/>
  <c r="H43" i="7" a="1"/>
  <c r="E43" i="7" a="1"/>
  <c r="E35" i="7"/>
  <c r="G43" i="7" a="1"/>
  <c r="G35" i="7"/>
  <c r="L35" i="7"/>
  <c r="F35" i="7"/>
  <c r="J35" i="7"/>
  <c r="F43" i="7" a="1"/>
  <c r="I35" i="7"/>
  <c r="D35" i="7"/>
  <c r="M35" i="7"/>
  <c r="G42" i="7" a="1"/>
  <c r="H35" i="7"/>
  <c r="A36" i="7" l="1"/>
  <c r="B36" i="7" s="1"/>
  <c r="A47" i="7"/>
  <c r="B47" i="7"/>
  <c r="L36" i="7"/>
  <c r="E42" i="7" a="1"/>
  <c r="I36" i="7"/>
  <c r="F42" i="7" a="1"/>
  <c r="G36" i="7"/>
  <c r="J43" i="7" a="1"/>
  <c r="D36" i="7"/>
  <c r="M43" i="7" a="1"/>
  <c r="E36" i="7"/>
  <c r="F36" i="7"/>
  <c r="H36" i="7"/>
  <c r="J36" i="7"/>
  <c r="L42" i="7" a="1"/>
  <c r="K36" i="7"/>
  <c r="M36" i="7"/>
  <c r="M42" i="7" a="1"/>
  <c r="A37" i="7" l="1"/>
  <c r="B37" i="7" s="1"/>
  <c r="A48" i="7"/>
  <c r="B48" i="7"/>
  <c r="E37" i="7"/>
  <c r="K37" i="7"/>
  <c r="I43" i="7" a="1"/>
  <c r="I37" i="7"/>
  <c r="J37" i="7"/>
  <c r="M37" i="7"/>
  <c r="D37" i="7"/>
  <c r="H37" i="7"/>
  <c r="G37" i="7"/>
  <c r="D42" i="7" a="1"/>
  <c r="F37" i="7"/>
  <c r="L37" i="7"/>
  <c r="A38" i="7" l="1"/>
  <c r="B38" i="7" s="1"/>
  <c r="A49" i="7"/>
  <c r="B49" i="7"/>
  <c r="I43" i="7"/>
  <c r="D42" i="7"/>
  <c r="M43" i="7"/>
  <c r="F42" i="7"/>
  <c r="E42" i="7"/>
  <c r="J43" i="7"/>
  <c r="L42" i="7"/>
  <c r="M42" i="7"/>
  <c r="E43" i="7"/>
  <c r="H43" i="7"/>
  <c r="F43" i="7"/>
  <c r="G42" i="7"/>
  <c r="G43" i="7"/>
  <c r="D43" i="7"/>
  <c r="H42" i="7"/>
  <c r="K43" i="7"/>
  <c r="K42" i="7"/>
  <c r="J42" i="7"/>
  <c r="L43" i="7"/>
  <c r="I42" i="7"/>
  <c r="P25" i="7"/>
  <c r="O25" i="7" a="1"/>
  <c r="E38" i="7"/>
  <c r="G38" i="7"/>
  <c r="K38" i="7"/>
  <c r="F44" i="7" a="1"/>
  <c r="L38" i="7"/>
  <c r="J38" i="7"/>
  <c r="H38" i="7"/>
  <c r="I38" i="7"/>
  <c r="M38" i="7"/>
  <c r="D38" i="7"/>
  <c r="F38" i="7"/>
  <c r="A39" i="7" l="1"/>
  <c r="A51" i="7" s="1"/>
  <c r="A50" i="7"/>
  <c r="B50" i="7"/>
  <c r="M44" i="7" a="1"/>
  <c r="E44" i="7" a="1"/>
  <c r="K44" i="7" a="1"/>
  <c r="L44" i="7" a="1"/>
  <c r="D44" i="7" a="1"/>
  <c r="G44" i="7" a="1"/>
  <c r="I44" i="7" a="1"/>
  <c r="J44" i="7" a="1"/>
  <c r="H44" i="7" a="1"/>
  <c r="B39" i="7" l="1"/>
  <c r="E44" i="7"/>
  <c r="M44" i="7"/>
  <c r="H44" i="7"/>
  <c r="D44" i="7"/>
  <c r="L44" i="7"/>
  <c r="J44" i="7"/>
  <c r="K44" i="7"/>
  <c r="I44" i="7"/>
  <c r="G44" i="7"/>
  <c r="F44" i="7"/>
  <c r="O25" i="7"/>
  <c r="N25" i="7" a="1"/>
  <c r="E39" i="7"/>
  <c r="J45" i="7" a="1"/>
  <c r="E45" i="7" a="1"/>
  <c r="K39" i="7"/>
  <c r="K45" i="7" a="1"/>
  <c r="F39" i="7"/>
  <c r="I45" i="7" a="1"/>
  <c r="G39" i="7"/>
  <c r="D39" i="7"/>
  <c r="J39" i="7"/>
  <c r="H45" i="7" a="1"/>
  <c r="D45" i="7" a="1"/>
  <c r="M39" i="7"/>
  <c r="M45" i="7" a="1"/>
  <c r="I39" i="7"/>
  <c r="H39" i="7"/>
  <c r="F45" i="7" a="1"/>
  <c r="L39" i="7"/>
  <c r="G45" i="7" a="1"/>
  <c r="L45" i="7" a="1"/>
  <c r="B51" i="7" l="1"/>
  <c r="E45" i="7"/>
  <c r="H45" i="7"/>
  <c r="G45" i="7"/>
  <c r="M45" i="7"/>
  <c r="F45" i="7"/>
  <c r="D45" i="7"/>
  <c r="I45" i="7"/>
  <c r="K45" i="7"/>
  <c r="J45" i="7"/>
  <c r="L45" i="7"/>
  <c r="N25" i="7"/>
  <c r="M25" i="7" a="1"/>
  <c r="G46" i="7" a="1"/>
  <c r="D46" i="7" a="1"/>
  <c r="M46" i="7" a="1"/>
  <c r="K46" i="7" a="1"/>
  <c r="H46" i="7" a="1"/>
  <c r="E46" i="7" a="1"/>
  <c r="J46" i="7" a="1"/>
  <c r="F46" i="7" a="1"/>
  <c r="L46" i="7" a="1"/>
  <c r="I46" i="7" a="1"/>
  <c r="K46" i="7" l="1"/>
  <c r="M46" i="7"/>
  <c r="J46" i="7"/>
  <c r="I46" i="7"/>
  <c r="E46" i="7"/>
  <c r="D46" i="7"/>
  <c r="G46" i="7"/>
  <c r="H46" i="7"/>
  <c r="L46" i="7"/>
  <c r="F46" i="7"/>
  <c r="M25" i="7"/>
  <c r="L25" i="7" a="1"/>
  <c r="G47" i="7" a="1"/>
  <c r="H47" i="7" a="1"/>
  <c r="F47" i="7" a="1"/>
  <c r="D47" i="7" a="1"/>
  <c r="J47" i="7" a="1"/>
  <c r="K47" i="7" a="1"/>
  <c r="M47" i="7" a="1"/>
  <c r="L47" i="7" a="1"/>
  <c r="E47" i="7" a="1"/>
  <c r="I47" i="7" a="1"/>
  <c r="E47" i="7" l="1"/>
  <c r="D47" i="7"/>
  <c r="I47" i="7"/>
  <c r="H47" i="7"/>
  <c r="L47" i="7"/>
  <c r="G47" i="7"/>
  <c r="M47" i="7"/>
  <c r="K47" i="7"/>
  <c r="J47" i="7"/>
  <c r="F47" i="7"/>
  <c r="L25" i="7"/>
  <c r="K25" i="7" a="1"/>
  <c r="F48" i="7" a="1"/>
  <c r="J48" i="7" a="1"/>
  <c r="D48" i="7" a="1"/>
  <c r="M48" i="7" a="1"/>
  <c r="I48" i="7" a="1"/>
  <c r="G48" i="7" a="1"/>
  <c r="H48" i="7" a="1"/>
  <c r="K48" i="7" a="1"/>
  <c r="E48" i="7" a="1"/>
  <c r="L48" i="7" a="1"/>
  <c r="G48" i="7" l="1"/>
  <c r="I48" i="7"/>
  <c r="D48" i="7"/>
  <c r="E48" i="7"/>
  <c r="J48" i="7"/>
  <c r="F48" i="7"/>
  <c r="K48" i="7"/>
  <c r="H48" i="7"/>
  <c r="L48" i="7"/>
  <c r="M48" i="7"/>
  <c r="K25" i="7"/>
  <c r="J25" i="7" a="1"/>
  <c r="J49" i="7" a="1"/>
  <c r="F49" i="7" a="1"/>
  <c r="I49" i="7" a="1"/>
  <c r="M49" i="7" a="1"/>
  <c r="H49" i="7" a="1"/>
  <c r="D49" i="7" a="1"/>
  <c r="L49" i="7" a="1"/>
  <c r="G49" i="7" a="1"/>
  <c r="E49" i="7" a="1"/>
  <c r="K49" i="7" a="1"/>
  <c r="I49" i="7" l="1"/>
  <c r="K49" i="7"/>
  <c r="H49" i="7"/>
  <c r="F49" i="7"/>
  <c r="J49" i="7"/>
  <c r="G49" i="7"/>
  <c r="M49" i="7"/>
  <c r="L49" i="7"/>
  <c r="D49" i="7"/>
  <c r="E49" i="7"/>
  <c r="J25" i="7"/>
  <c r="I25" i="7" a="1"/>
  <c r="L50" i="7" a="1"/>
  <c r="E50" i="7" a="1"/>
  <c r="G50" i="7" a="1"/>
  <c r="H50" i="7" a="1"/>
  <c r="M50" i="7" a="1"/>
  <c r="K50" i="7" a="1"/>
  <c r="F50" i="7" a="1"/>
  <c r="I50" i="7" a="1"/>
  <c r="D50" i="7" a="1"/>
  <c r="J50" i="7" a="1"/>
  <c r="K50" i="7" l="1"/>
  <c r="M50" i="7"/>
  <c r="H50" i="7"/>
  <c r="I50" i="7"/>
  <c r="G50" i="7"/>
  <c r="E50" i="7"/>
  <c r="F50" i="7"/>
  <c r="L50" i="7"/>
  <c r="J50" i="7"/>
  <c r="D50" i="7"/>
  <c r="I25" i="7"/>
  <c r="H25" i="7" a="1"/>
  <c r="D51" i="7" a="1"/>
  <c r="E51" i="7" a="1"/>
  <c r="J51" i="7" a="1"/>
  <c r="H51" i="7" a="1"/>
  <c r="L51" i="7" a="1"/>
  <c r="G51" i="7" a="1"/>
  <c r="I51" i="7" a="1"/>
  <c r="F51" i="7" a="1"/>
  <c r="K51" i="7" a="1"/>
  <c r="M51" i="7" a="1"/>
  <c r="H51" i="7" l="1"/>
  <c r="E51" i="7"/>
  <c r="D51" i="7"/>
  <c r="I51" i="7"/>
  <c r="M51" i="7"/>
  <c r="G51" i="7"/>
  <c r="K51" i="7"/>
  <c r="L51" i="7"/>
  <c r="J51" i="7"/>
  <c r="F51" i="7"/>
  <c r="H25" i="7"/>
  <c r="G25" i="7" a="1"/>
  <c r="G25" i="7" l="1"/>
  <c r="F25" i="7" a="1"/>
  <c r="F25" i="7" l="1"/>
  <c r="E25" i="7" a="1"/>
  <c r="E25" i="7" l="1"/>
  <c r="D25" i="7" a="1"/>
  <c r="D25" i="7" l="1"/>
  <c r="Q24" i="7" a="1"/>
  <c r="Q24" i="7" l="1"/>
  <c r="P24" i="7" a="1"/>
  <c r="P24" i="7" l="1"/>
  <c r="O24" i="7" a="1"/>
  <c r="O24" i="7" l="1"/>
  <c r="N24" i="7" a="1"/>
  <c r="N24" i="7" l="1"/>
  <c r="M24" i="7" a="1"/>
  <c r="M24" i="7" l="1"/>
  <c r="L24" i="7" a="1"/>
  <c r="L24" i="7" l="1"/>
  <c r="K24" i="7" a="1"/>
  <c r="K24" i="7" l="1"/>
  <c r="J24" i="7" a="1"/>
  <c r="J24" i="7" l="1"/>
  <c r="I24" i="7" a="1"/>
  <c r="I24" i="7" l="1"/>
  <c r="H24" i="7" a="1"/>
  <c r="H24" i="7" l="1"/>
  <c r="G24" i="7" a="1"/>
  <c r="G24" i="7" l="1"/>
  <c r="F24" i="7" a="1"/>
  <c r="F24" i="7" l="1"/>
  <c r="E24" i="7" a="1"/>
  <c r="E24" i="7" l="1"/>
  <c r="D24" i="7" a="1"/>
  <c r="D24" i="7" l="1"/>
  <c r="Q23" i="7" a="1"/>
  <c r="Q23" i="7" l="1"/>
  <c r="P23" i="7" a="1"/>
  <c r="P23" i="7" l="1"/>
  <c r="O23" i="7" a="1"/>
  <c r="O23" i="7" l="1"/>
  <c r="N23" i="7" a="1"/>
  <c r="N23" i="7" l="1"/>
  <c r="M23" i="7" a="1"/>
  <c r="M23" i="7" l="1"/>
  <c r="L23" i="7" a="1"/>
  <c r="L23" i="7" l="1"/>
  <c r="K23" i="7" a="1"/>
  <c r="K23" i="7" l="1"/>
  <c r="J23" i="7" a="1"/>
  <c r="J23" i="7" l="1"/>
  <c r="I23" i="7" a="1"/>
  <c r="I23" i="7" l="1"/>
  <c r="H23" i="7" a="1"/>
  <c r="H23" i="7" l="1"/>
  <c r="G23" i="7" a="1"/>
  <c r="G23" i="7" l="1"/>
  <c r="F23" i="7" a="1"/>
  <c r="F23" i="7" l="1"/>
  <c r="E23" i="7" a="1"/>
  <c r="E23" i="7" l="1"/>
  <c r="D23" i="7" a="1"/>
  <c r="D23" i="7" l="1"/>
  <c r="Q22" i="7" a="1"/>
  <c r="Q22" i="7" l="1"/>
  <c r="P22" i="7" a="1"/>
  <c r="P22" i="7" l="1"/>
  <c r="O22" i="7" a="1"/>
  <c r="O22" i="7" l="1"/>
  <c r="N22" i="7" a="1"/>
  <c r="N22" i="7" l="1"/>
  <c r="M22" i="7" a="1"/>
  <c r="M22" i="7" l="1"/>
  <c r="L22" i="7" a="1"/>
  <c r="L22" i="7" l="1"/>
  <c r="K22" i="7" a="1"/>
  <c r="K22" i="7" l="1"/>
  <c r="J22" i="7" a="1"/>
  <c r="J22" i="7" l="1"/>
  <c r="I22" i="7" a="1"/>
  <c r="I22" i="7" l="1"/>
  <c r="H22" i="7" a="1"/>
  <c r="H22" i="7" l="1"/>
  <c r="G22" i="7" a="1"/>
  <c r="G22" i="7" l="1"/>
  <c r="F22" i="7" a="1"/>
  <c r="F22" i="7" l="1"/>
  <c r="E22" i="7" a="1"/>
  <c r="E22" i="7" l="1"/>
  <c r="D22" i="7" a="1"/>
  <c r="D22" i="7" l="1"/>
  <c r="Q21" i="7" a="1"/>
  <c r="Q21" i="7" l="1"/>
  <c r="P21" i="7" a="1"/>
  <c r="P21" i="7" l="1"/>
  <c r="O21" i="7" a="1"/>
  <c r="O21" i="7" l="1"/>
  <c r="N21" i="7" a="1"/>
  <c r="N21" i="7" l="1"/>
  <c r="M21" i="7" a="1"/>
  <c r="M21" i="7" l="1"/>
  <c r="L21" i="7" a="1"/>
  <c r="L21" i="7" l="1"/>
  <c r="K21" i="7" a="1"/>
  <c r="K21" i="7" l="1"/>
  <c r="J21" i="7" a="1"/>
  <c r="J21" i="7" l="1"/>
  <c r="I21" i="7" a="1"/>
  <c r="I21" i="7" l="1"/>
  <c r="H21" i="7" a="1"/>
  <c r="H21" i="7" l="1"/>
  <c r="G21" i="7" a="1"/>
  <c r="G21" i="7" l="1"/>
  <c r="F21" i="7" a="1"/>
  <c r="F21" i="7" l="1"/>
  <c r="E21" i="7" a="1"/>
  <c r="E21" i="7" l="1"/>
  <c r="D21" i="7" a="1"/>
  <c r="D21" i="7" l="1"/>
  <c r="Q20" i="7" a="1"/>
  <c r="Q20" i="7" l="1"/>
  <c r="P20" i="7" a="1"/>
  <c r="P20" i="7" l="1"/>
  <c r="O20" i="7" a="1"/>
  <c r="O20" i="7" l="1"/>
  <c r="N20" i="7" a="1"/>
  <c r="N20" i="7" l="1"/>
  <c r="M20" i="7" a="1"/>
  <c r="M20" i="7" l="1"/>
  <c r="L20" i="7" a="1"/>
  <c r="L20" i="7" l="1"/>
  <c r="K20" i="7" a="1"/>
  <c r="K20" i="7" l="1"/>
  <c r="J20" i="7" a="1"/>
  <c r="J20" i="7" l="1"/>
  <c r="I20" i="7" a="1"/>
  <c r="I20" i="7" l="1"/>
  <c r="H20" i="7" a="1"/>
  <c r="H20" i="7" l="1"/>
  <c r="G20" i="7" a="1"/>
  <c r="G20" i="7" l="1"/>
  <c r="F20" i="7" a="1"/>
  <c r="F20" i="7" l="1"/>
  <c r="E20" i="7" a="1"/>
  <c r="E20" i="7" l="1"/>
  <c r="D20" i="7" a="1"/>
  <c r="D20" i="7" l="1"/>
  <c r="Q19" i="7" a="1"/>
  <c r="Q19" i="7" l="1"/>
  <c r="P19" i="7" a="1"/>
  <c r="P19" i="7" l="1"/>
  <c r="O19" i="7" a="1"/>
  <c r="O19" i="7" l="1"/>
  <c r="N19" i="7" a="1"/>
  <c r="N19" i="7" l="1"/>
  <c r="M19" i="7" a="1"/>
  <c r="M19" i="7" l="1"/>
  <c r="L19" i="7" a="1"/>
  <c r="L19" i="7" l="1"/>
  <c r="K19" i="7" a="1"/>
  <c r="K19" i="7" l="1"/>
  <c r="J19" i="7" a="1"/>
  <c r="J19" i="7" l="1"/>
  <c r="I19" i="7" a="1"/>
  <c r="I19" i="7" l="1"/>
  <c r="H19" i="7" a="1"/>
  <c r="H19" i="7" l="1"/>
  <c r="G19" i="7" a="1"/>
  <c r="G19" i="7" l="1"/>
  <c r="F19" i="7" a="1"/>
  <c r="F19" i="7" l="1"/>
  <c r="E19" i="7" a="1"/>
  <c r="E19" i="7" l="1"/>
  <c r="D19" i="7" a="1"/>
  <c r="D19" i="7" l="1"/>
  <c r="Q18" i="7" a="1"/>
  <c r="Q18" i="7" l="1"/>
  <c r="P18" i="7" a="1"/>
  <c r="P18" i="7" l="1"/>
  <c r="O18" i="7" a="1"/>
  <c r="O18" i="7" l="1"/>
  <c r="N18" i="7" a="1"/>
  <c r="N18" i="7" l="1"/>
  <c r="M18" i="7" a="1"/>
  <c r="M18" i="7" l="1"/>
  <c r="L18" i="7" a="1"/>
  <c r="L18" i="7" l="1"/>
  <c r="K18" i="7" a="1"/>
  <c r="K18" i="7" l="1"/>
  <c r="J18" i="7" a="1"/>
  <c r="J18" i="7" l="1"/>
  <c r="I18" i="7" a="1"/>
  <c r="I18" i="7" l="1"/>
  <c r="H18" i="7" a="1"/>
  <c r="H18" i="7" l="1"/>
  <c r="G18" i="7" a="1"/>
  <c r="G18" i="7" l="1"/>
  <c r="F18" i="7" a="1"/>
  <c r="F18" i="7" l="1"/>
  <c r="E18" i="7" a="1"/>
  <c r="E18" i="7" l="1"/>
  <c r="D18" i="7" a="1"/>
  <c r="D18" i="7" l="1"/>
  <c r="Q17" i="7" a="1"/>
  <c r="Q17" i="7" l="1"/>
  <c r="P17" i="7" a="1"/>
  <c r="P17" i="7" l="1"/>
  <c r="O17" i="7" a="1"/>
  <c r="O17" i="7" l="1"/>
  <c r="N17" i="7" a="1"/>
  <c r="N17" i="7" l="1"/>
  <c r="M17" i="7" a="1"/>
  <c r="M17" i="7" l="1"/>
  <c r="L17" i="7" a="1"/>
  <c r="L17" i="7" l="1"/>
  <c r="K17" i="7" a="1"/>
  <c r="K17" i="7" l="1"/>
  <c r="J17" i="7" a="1"/>
  <c r="J17" i="7" l="1"/>
  <c r="I17" i="7" a="1"/>
  <c r="I17" i="7" l="1"/>
  <c r="H17" i="7" a="1"/>
  <c r="H17" i="7" l="1"/>
  <c r="G17" i="7" a="1"/>
  <c r="G17" i="7" l="1"/>
  <c r="F17" i="7" a="1"/>
  <c r="F17" i="7" l="1"/>
  <c r="E17" i="7" a="1"/>
  <c r="E17" i="7" l="1"/>
  <c r="D17" i="7" a="1"/>
  <c r="D17" i="7" l="1"/>
  <c r="Q16" i="7" a="1"/>
  <c r="Q16" i="7" l="1"/>
  <c r="P16" i="7" a="1"/>
  <c r="P16" i="7" l="1"/>
  <c r="O16" i="7" a="1"/>
  <c r="O16" i="7" l="1"/>
  <c r="N16" i="7" a="1"/>
  <c r="N16" i="7" l="1"/>
  <c r="M16" i="7" a="1"/>
  <c r="M16" i="7" l="1"/>
  <c r="L16" i="7" a="1"/>
  <c r="L16" i="7" l="1"/>
  <c r="K16" i="7" a="1"/>
  <c r="K16" i="7" l="1"/>
  <c r="J16" i="7" a="1"/>
  <c r="J16" i="7" l="1"/>
  <c r="I16" i="7" a="1"/>
  <c r="I16" i="7" l="1"/>
  <c r="H16" i="7" a="1"/>
  <c r="H16" i="7" l="1"/>
  <c r="G16" i="7" a="1"/>
  <c r="G16" i="7" l="1"/>
  <c r="F16" i="7" a="1"/>
  <c r="F16" i="7" l="1"/>
  <c r="E16" i="7" a="1"/>
  <c r="E16" i="7" l="1"/>
  <c r="D16" i="7" a="1"/>
  <c r="D16" i="7" l="1"/>
  <c r="Q15" i="7" a="1"/>
  <c r="Q15" i="7" l="1"/>
  <c r="P15" i="7" a="1"/>
  <c r="P15" i="7" l="1"/>
  <c r="O15" i="7" a="1"/>
  <c r="O15" i="7" l="1"/>
  <c r="N15" i="7" a="1"/>
  <c r="N15" i="7" l="1"/>
  <c r="M15" i="7" a="1"/>
  <c r="M15" i="7" l="1"/>
  <c r="L15" i="7" a="1"/>
  <c r="L15" i="7" l="1"/>
  <c r="K15" i="7" a="1"/>
  <c r="K15" i="7" l="1"/>
  <c r="J15" i="7" a="1"/>
  <c r="J15" i="7" l="1"/>
  <c r="I15" i="7" a="1"/>
  <c r="I15" i="7" l="1"/>
  <c r="H15" i="7" a="1"/>
  <c r="H15" i="7" l="1"/>
  <c r="G15" i="7" a="1"/>
  <c r="G15" i="7" l="1"/>
  <c r="F15" i="7" a="1"/>
  <c r="F15" i="7" l="1"/>
  <c r="E15" i="7" a="1"/>
  <c r="E15" i="7" l="1"/>
  <c r="D15" i="7" a="1"/>
  <c r="D15" i="7" l="1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O7" i="5"/>
  <c r="L6" i="5"/>
  <c r="N4" i="5"/>
  <c r="E50" i="6" a="1"/>
  <c r="G50" i="6" a="1"/>
  <c r="G53" i="6" a="1"/>
  <c r="G6" i="5"/>
  <c r="H5" i="5"/>
  <c r="G65" i="6" a="1"/>
  <c r="G56" i="6" a="1"/>
  <c r="I54" i="6" a="1"/>
  <c r="E51" i="6" a="1"/>
  <c r="G62" i="6" a="1"/>
  <c r="O6" i="5"/>
  <c r="P4" i="5"/>
  <c r="J7" i="5"/>
  <c r="N7" i="5"/>
  <c r="G55" i="6" a="1"/>
  <c r="E57" i="6" a="1"/>
  <c r="G64" i="6" a="1"/>
  <c r="I63" i="6" a="1"/>
  <c r="I5" i="5"/>
  <c r="E64" i="6" a="1"/>
  <c r="I51" i="6" a="1"/>
  <c r="M4" i="5"/>
  <c r="I57" i="6" a="1"/>
  <c r="E55" i="6" a="1"/>
  <c r="K5" i="5"/>
  <c r="E63" i="6" a="1"/>
  <c r="E52" i="6" a="1"/>
  <c r="H6" i="5"/>
  <c r="L5" i="5"/>
  <c r="I52" i="6" a="1"/>
  <c r="I6" i="5"/>
  <c r="H7" i="5"/>
  <c r="E53" i="6" a="1"/>
  <c r="K7" i="5"/>
  <c r="E59" i="6" a="1"/>
  <c r="E56" i="6" a="1"/>
  <c r="I55" i="6" a="1"/>
  <c r="M5" i="5"/>
  <c r="N5" i="5"/>
  <c r="I65" i="6" a="1"/>
  <c r="J6" i="5"/>
  <c r="G60" i="6" a="1"/>
  <c r="I7" i="5"/>
  <c r="M6" i="5"/>
  <c r="K4" i="5"/>
  <c r="G4" i="5"/>
  <c r="E58" i="6" a="1"/>
  <c r="G59" i="6" a="1"/>
  <c r="O5" i="5"/>
  <c r="G63" i="6" a="1"/>
  <c r="P7" i="5"/>
  <c r="M7" i="5"/>
  <c r="I64" i="6" a="1"/>
  <c r="E61" i="6" a="1"/>
  <c r="I59" i="6" a="1"/>
  <c r="G61" i="6" a="1"/>
  <c r="G51" i="6" a="1"/>
  <c r="P6" i="5"/>
  <c r="J4" i="5"/>
  <c r="G52" i="6" a="1"/>
  <c r="I61" i="6" a="1"/>
  <c r="L4" i="5"/>
  <c r="G58" i="6" a="1"/>
  <c r="O4" i="5"/>
  <c r="I4" i="5"/>
  <c r="J5" i="5"/>
  <c r="I58" i="6" a="1"/>
  <c r="E62" i="6" a="1"/>
  <c r="I60" i="6" a="1"/>
  <c r="I50" i="6" a="1"/>
  <c r="E60" i="6" a="1"/>
  <c r="E54" i="6" a="1"/>
  <c r="I53" i="6" a="1"/>
  <c r="G7" i="5"/>
  <c r="N6" i="5"/>
  <c r="P5" i="5"/>
  <c r="L7" i="5"/>
  <c r="I56" i="6" a="1"/>
  <c r="E65" i="6" a="1"/>
  <c r="G54" i="6" a="1"/>
  <c r="K6" i="5"/>
  <c r="G57" i="6" a="1"/>
  <c r="I62" i="6" a="1"/>
  <c r="G5" i="5"/>
  <c r="H4" i="5"/>
  <c r="I53" i="6" l="1"/>
  <c r="I61" i="6"/>
  <c r="I50" i="6"/>
  <c r="I58" i="6"/>
  <c r="I62" i="6"/>
  <c r="I65" i="6"/>
  <c r="I51" i="6"/>
  <c r="I55" i="6"/>
  <c r="I59" i="6"/>
  <c r="I63" i="6"/>
  <c r="I57" i="6"/>
  <c r="I54" i="6"/>
  <c r="I52" i="6"/>
  <c r="I56" i="6"/>
  <c r="I60" i="6"/>
  <c r="I64" i="6"/>
  <c r="G53" i="6"/>
  <c r="G61" i="6"/>
  <c r="G54" i="6"/>
  <c r="G62" i="6"/>
  <c r="G57" i="6"/>
  <c r="G50" i="6"/>
  <c r="G51" i="6"/>
  <c r="G55" i="6"/>
  <c r="G59" i="6"/>
  <c r="G63" i="6"/>
  <c r="G65" i="6"/>
  <c r="G58" i="6"/>
  <c r="G52" i="6"/>
  <c r="G56" i="6"/>
  <c r="G60" i="6"/>
  <c r="G64" i="6"/>
  <c r="E57" i="6"/>
  <c r="E65" i="6"/>
  <c r="E54" i="6"/>
  <c r="E58" i="6"/>
  <c r="E62" i="6"/>
  <c r="E53" i="6"/>
  <c r="E51" i="6"/>
  <c r="E55" i="6"/>
  <c r="E59" i="6"/>
  <c r="E63" i="6"/>
  <c r="E61" i="6"/>
  <c r="E52" i="6"/>
  <c r="E56" i="6"/>
  <c r="E60" i="6"/>
  <c r="E64" i="6"/>
  <c r="E50" i="6"/>
  <c r="H11" i="6"/>
  <c r="G8" i="5"/>
  <c r="H8" i="5"/>
  <c r="I8" i="5"/>
  <c r="J8" i="5"/>
  <c r="K8" i="5"/>
  <c r="L8" i="5"/>
  <c r="M8" i="5"/>
  <c r="N8" i="5"/>
  <c r="O8" i="5"/>
  <c r="P8" i="5"/>
  <c r="E9" i="5"/>
  <c r="E10" i="5"/>
  <c r="T4" i="5" a="1"/>
  <c r="L12" i="5"/>
  <c r="X6" i="5" a="1"/>
  <c r="Z7" i="5" a="1"/>
  <c r="M12" i="5"/>
  <c r="V7" i="5" a="1"/>
  <c r="Z5" i="5" a="1"/>
  <c r="X5" i="5" a="1"/>
  <c r="P10" i="5"/>
  <c r="M9" i="5"/>
  <c r="X4" i="5" a="1"/>
  <c r="Y6" i="5" a="1"/>
  <c r="AC5" i="5" a="1"/>
  <c r="J14" i="5"/>
  <c r="U5" i="5" a="1"/>
  <c r="J10" i="5"/>
  <c r="I9" i="5"/>
  <c r="I13" i="5"/>
  <c r="AC4" i="5" a="1"/>
  <c r="G9" i="5"/>
  <c r="Y5" i="5" a="1"/>
  <c r="Y7" i="5" a="1"/>
  <c r="AA5" i="5" a="1"/>
  <c r="N12" i="5"/>
  <c r="T6" i="5" a="1"/>
  <c r="L10" i="5"/>
  <c r="N13" i="5"/>
  <c r="G14" i="5"/>
  <c r="AA4" i="5" a="1"/>
  <c r="K12" i="5"/>
  <c r="W6" i="5" a="1"/>
  <c r="L13" i="5"/>
  <c r="I10" i="5"/>
  <c r="Y4" i="5" a="1"/>
  <c r="N10" i="5"/>
  <c r="W5" i="5" a="1"/>
  <c r="U7" i="5" a="1"/>
  <c r="AB7" i="5" a="1"/>
  <c r="W7" i="5" a="1"/>
  <c r="P13" i="5"/>
  <c r="O10" i="5"/>
  <c r="J13" i="5"/>
  <c r="V4" i="5" a="1"/>
  <c r="V6" i="5" a="1"/>
  <c r="Z6" i="5" a="1"/>
  <c r="M11" i="5"/>
  <c r="U6" i="5" a="1"/>
  <c r="AB5" i="5" a="1"/>
  <c r="AB6" i="5" a="1"/>
  <c r="AA7" i="5" a="1"/>
  <c r="AC7" i="5" a="1"/>
  <c r="V5" i="5" a="1"/>
  <c r="M10" i="5"/>
  <c r="N9" i="5"/>
  <c r="L9" i="5"/>
  <c r="K14" i="5"/>
  <c r="H10" i="5"/>
  <c r="AB4" i="5" a="1"/>
  <c r="M13" i="5"/>
  <c r="U4" i="5" a="1"/>
  <c r="K9" i="5"/>
  <c r="H9" i="5"/>
  <c r="H12" i="5"/>
  <c r="K10" i="5"/>
  <c r="I14" i="5"/>
  <c r="O9" i="5"/>
  <c r="P11" i="5"/>
  <c r="P9" i="5"/>
  <c r="W4" i="5" a="1"/>
  <c r="Z4" i="5" a="1"/>
  <c r="AA6" i="5" a="1"/>
  <c r="J9" i="5"/>
  <c r="H13" i="5"/>
  <c r="G10" i="5"/>
  <c r="O11" i="5"/>
  <c r="T5" i="5" a="1"/>
  <c r="J12" i="5"/>
  <c r="J11" i="5"/>
  <c r="X7" i="5" a="1"/>
  <c r="K11" i="5"/>
  <c r="T7" i="5" a="1"/>
  <c r="L11" i="5"/>
  <c r="AC6" i="5" a="1"/>
  <c r="AA6" i="5" l="1"/>
  <c r="AC5" i="5"/>
  <c r="Y6" i="5"/>
  <c r="AA5" i="5"/>
  <c r="X7" i="5"/>
  <c r="V4" i="5"/>
  <c r="W4" i="5"/>
  <c r="W7" i="5"/>
  <c r="AC7" i="5"/>
  <c r="U7" i="5"/>
  <c r="AC4" i="5"/>
  <c r="AB4" i="5"/>
  <c r="T6" i="5"/>
  <c r="W6" i="5"/>
  <c r="T7" i="5"/>
  <c r="T4" i="5"/>
  <c r="V6" i="5"/>
  <c r="V7" i="5"/>
  <c r="V5" i="5"/>
  <c r="Z6" i="5"/>
  <c r="AC6" i="5"/>
  <c r="Z4" i="5"/>
  <c r="AA4" i="5"/>
  <c r="X6" i="5"/>
  <c r="X4" i="5"/>
  <c r="AB5" i="5"/>
  <c r="Y5" i="5"/>
  <c r="U5" i="5"/>
  <c r="X5" i="5"/>
  <c r="AB7" i="5"/>
  <c r="Y7" i="5"/>
  <c r="T5" i="5"/>
  <c r="Z5" i="5"/>
  <c r="U6" i="5"/>
  <c r="U4" i="5"/>
  <c r="Z7" i="5"/>
  <c r="AB6" i="5"/>
  <c r="AA7" i="5"/>
  <c r="Y4" i="5"/>
  <c r="W5" i="5"/>
  <c r="R29" i="5"/>
  <c r="S30" i="5"/>
  <c r="R28" i="5"/>
  <c r="T37" i="5"/>
  <c r="T34" i="5"/>
  <c r="H5" i="4"/>
  <c r="H4" i="4"/>
  <c r="H3" i="4"/>
  <c r="H11" i="5"/>
  <c r="I12" i="5"/>
  <c r="P14" i="5"/>
  <c r="N14" i="5"/>
  <c r="M14" i="5"/>
  <c r="P12" i="5"/>
  <c r="L14" i="5"/>
  <c r="O12" i="5"/>
  <c r="G11" i="5"/>
  <c r="K13" i="5"/>
  <c r="O14" i="5"/>
  <c r="I11" i="5"/>
  <c r="G12" i="5"/>
  <c r="N11" i="5"/>
  <c r="O13" i="5"/>
  <c r="G13" i="5"/>
  <c r="H14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26" i="4"/>
  <c r="D16" i="4"/>
  <c r="D18" i="4"/>
  <c r="C36" i="4" l="1"/>
  <c r="C32" i="4"/>
  <c r="C30" i="4"/>
  <c r="C31" i="4"/>
  <c r="C34" i="4"/>
  <c r="C33" i="4"/>
  <c r="C29" i="4"/>
  <c r="C35" i="4"/>
  <c r="C37" i="4"/>
  <c r="E32" i="4"/>
  <c r="F37" i="4"/>
  <c r="G36" i="4"/>
  <c r="G35" i="4"/>
  <c r="H37" i="4"/>
  <c r="F33" i="4"/>
  <c r="J35" i="4"/>
  <c r="J29" i="4"/>
  <c r="I35" i="4"/>
  <c r="G30" i="4"/>
  <c r="F36" i="4"/>
  <c r="G32" i="4"/>
  <c r="E30" i="4"/>
  <c r="J36" i="4"/>
  <c r="J31" i="4"/>
  <c r="J37" i="4"/>
  <c r="I34" i="4"/>
  <c r="G33" i="4"/>
  <c r="I30" i="4"/>
  <c r="J34" i="4"/>
  <c r="H32" i="4"/>
  <c r="G29" i="4"/>
  <c r="E36" i="4"/>
  <c r="H30" i="4"/>
  <c r="H35" i="4"/>
  <c r="F30" i="4"/>
  <c r="I37" i="4"/>
  <c r="G37" i="4"/>
  <c r="E35" i="4"/>
  <c r="G31" i="4"/>
  <c r="J33" i="4"/>
  <c r="E31" i="4"/>
  <c r="H36" i="4"/>
  <c r="J30" i="4"/>
  <c r="H33" i="4"/>
  <c r="I33" i="4"/>
  <c r="I29" i="4"/>
  <c r="E29" i="4"/>
  <c r="F34" i="4"/>
  <c r="J32" i="4"/>
  <c r="F31" i="4"/>
  <c r="F35" i="4"/>
  <c r="I36" i="4"/>
  <c r="H29" i="4"/>
  <c r="F29" i="4"/>
  <c r="G34" i="4"/>
  <c r="H31" i="4"/>
  <c r="F32" i="4"/>
  <c r="E37" i="4"/>
  <c r="E33" i="4"/>
  <c r="I31" i="4"/>
  <c r="H34" i="4"/>
  <c r="I32" i="4"/>
  <c r="E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<sst xmlns="http://schemas.openxmlformats.org/spreadsheetml/2006/main" count="175" uniqueCount="152">
  <si>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</si>
  <si>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</si>
  <si>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</si>
  <si>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</si>
  <si>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</si>
  <si>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</si>
  <si>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</si>
  <si>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</si>
  <si>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</si>
  <si>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</si>
  <si>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</si>
  <si>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</si>
  <si>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</si>
  <si>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</si>
  <si>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</si>
  <si>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</si>
  <si>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</si>
  <si>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</si>
  <si>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</si>
  <si>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</si>
  <si>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</si>
  <si>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</si>
  <si>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</si>
  <si>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</si>
  <si>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</si>
  <si>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</si>
  <si>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</si>
  <si>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</si>
  <si>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</si>
  <si>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</si>
  <si>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</si>
  <si>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</si>
  <si>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</si>
  <si>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</si>
  <si>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</si>
  <si>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</si>
  <si>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</si>
  <si>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</si>
  <si>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</si>
  <si>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</si>
  <si>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</si>
  <si>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</si>
  <si>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</si>
  <si>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</si>
  <si>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</si>
  <si>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</si>
  <si>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</si>
  <si>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</si>
  <si>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</si>
  <si>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</si>
  <si>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</si>
  <si>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</si>
  <si>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</si>
  <si>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</si>
  <si>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</si>
  <si>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</si>
  <si>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</si>
  <si>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</si>
  <si>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</si>
  <si>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</si>
  <si>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</si>
  <si>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</si>
  <si>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</si>
  <si>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</si>
  <si>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</si>
  <si>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</si>
  <si>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</si>
  <si>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</si>
  <si>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</si>
  <si>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</si>
  <si>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</si>
  <si>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</si>
  <si>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</si>
  <si>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</si>
  <si>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</si>
  <si>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</si>
  <si>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</si>
  <si>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</si>
  <si>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</si>
  <si>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</si>
  <si>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</si>
  <si>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</si>
  <si>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</si>
  <si>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</si>
  <si>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</si>
  <si>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</si>
  <si>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</si>
  <si>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</si>
  <si>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</si>
  <si>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</si>
  <si>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</si>
  <si>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</si>
  <si>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</si>
  <si>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</si>
  <si>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</si>
  <si>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</si>
  <si>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</si>
  <si>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</si>
  <si>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</si>
  <si>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</si>
  <si>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</si>
  <si>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</si>
  <si>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</si>
  <si>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</si>
  <si>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</si>
  <si>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</si>
  <si>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</si>
  <si>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</si>
  <si>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</si>
  <si>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</si>
  <si>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</si>
  <si>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</si>
  <si>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</si>
  <si>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</si>
  <si>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</si>
  <si>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</si>
  <si>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</si>
  <si>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</si>
  <si>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</si>
  <si>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</si>
  <si>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</si>
  <si>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</si>
  <si>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</si>
  <si>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</si>
  <si>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</si>
  <si>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</si>
  <si>
    <t>Formula</t>
  </si>
  <si>
    <t>Formula=4 is implemented</t>
  </si>
  <si>
    <t>level4res</t>
  </si>
  <si>
    <t>ResistanceLevel</t>
  </si>
  <si>
    <t>sendResList</t>
  </si>
  <si>
    <t>ResistanceSend</t>
  </si>
  <si>
    <t>PowerFactors4Level1</t>
  </si>
  <si>
    <t>Factor</t>
  </si>
  <si>
    <t>PowerFactors4Level2</t>
  </si>
  <si>
    <t>Offset</t>
  </si>
  <si>
    <t>Grade4Level</t>
  </si>
  <si>
    <t>Resistance -&gt; Power (antifier table)</t>
  </si>
  <si>
    <t>Resistance -&gt; Power (formula)</t>
  </si>
  <si>
    <t>CurrentResistance</t>
  </si>
  <si>
    <t>TargetResistance</t>
  </si>
  <si>
    <t>The T1932 headunit ONLY accepts 14 distinct values as CurrentResistance (1900, 2030 ... 3750)</t>
  </si>
  <si>
    <t>And sets the CurrentResistance to 13 distinct values (1039, 1299 … 4677)</t>
  </si>
  <si>
    <t>There is no documented reason why the headunit/magnetic brake work this way</t>
  </si>
  <si>
    <t>#Measurements</t>
  </si>
  <si>
    <t>Antifier</t>
  </si>
  <si>
    <t>FortiusANT</t>
  </si>
  <si>
    <t>Uses 14 linear formula's; one for each interval</t>
  </si>
  <si>
    <t>Uses one formula for the whole interval; based upon physics using three formula-constants</t>
  </si>
  <si>
    <t>Grade -&gt; Resistance (formula)</t>
  </si>
  <si>
    <t>Step%</t>
  </si>
  <si>
    <t>CTP (Zwift, Rouvy)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</si>
</sst>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0" formatCode="0.0"/>
    <numFmt numFmtId="181" formatCode="0&quot; W&quot;\ "/>
    <numFmt numFmtId="182" formatCode="&quot;Antifier &quot;\ General&quot; km/hr&quot;"/>
    <numFmt numFmtId="183" formatCode="&quot;FortiusANT &quot;General&quot; km/hr&quot;"/>
    <numFmt numFmtId="184" formatCode="0&quot; R&quot;"/>
    <numFmt numFmtId="185" formatCode="0&quot; %&quot;"/>
    <numFmt numFmtId="186" formatCode="General\ &quot;km/hr&quot;"/>
    <numFmt numFmtId="187" formatCode="General&quot; kg&quot;"/>
    <numFmt numFmtId="188" formatCode="0.0&quot; %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20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78" fontId="0" fillId="0" borderId="0" xfId="0" applyNumberFormat="1"/>
    <xf numFmtId="179" fontId="0" fillId="0" borderId="0" xfId="0" applyNumberFormat="1"/>
    <xf numFmtId="180" fontId="0" fillId="4" borderId="0" xfId="0" applyNumberFormat="1" applyFill="1"/>
    <xf numFmtId="0" fontId="0" fillId="0" borderId="0" xfId="0" applyBorder="1"/>
    <xf numFmtId="0" fontId="0" fillId="0" borderId="0" xfId="0" applyAlignment="1">
      <alignment horizontal="left"/>
    </xf>
    <xf numFmtId="164" fontId="0" fillId="0" borderId="0" xfId="0" applyNumberFormat="1"/>
    <xf numFmtId="171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 applyBorder="1"/>
    <xf numFmtId="0" fontId="9" fillId="0" borderId="0" xfId="0" applyFont="1"/>
    <xf numFmtId="0" fontId="9" fillId="0" borderId="16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182" fontId="9" fillId="0" borderId="0" xfId="0" applyNumberFormat="1" applyFont="1"/>
    <xf numFmtId="181" fontId="9" fillId="0" borderId="0" xfId="0" applyNumberFormat="1" applyFont="1"/>
    <xf numFmtId="0" fontId="9" fillId="0" borderId="0" xfId="0" applyFont="1" applyBorder="1"/>
    <xf numFmtId="1" fontId="9" fillId="0" borderId="0" xfId="0" applyNumberFormat="1" applyFont="1" applyBorder="1"/>
    <xf numFmtId="183" fontId="9" fillId="0" borderId="0" xfId="0" applyNumberFormat="1" applyFont="1" applyBorder="1"/>
    <xf numFmtId="181" fontId="9" fillId="0" borderId="0" xfId="0" applyNumberFormat="1" applyFont="1" applyBorder="1"/>
    <xf numFmtId="186" fontId="9" fillId="0" borderId="0" xfId="0" applyNumberFormat="1" applyFont="1" applyBorder="1"/>
    <xf numFmtId="187" fontId="0" fillId="0" borderId="0" xfId="0" applyNumberFormat="1" applyBorder="1" applyAlignment="1">
      <alignment horizontal="center"/>
    </xf>
    <xf numFmtId="188" fontId="0" fillId="0" borderId="0" xfId="0" applyNumberFormat="1"/>
    <xf numFmtId="185" fontId="0" fillId="0" borderId="0" xfId="0" applyNumberFormat="1" applyFill="1" applyBorder="1"/>
    <xf numFmtId="0" fontId="0" fillId="0" borderId="0" xfId="0" applyAlignment="1">
      <alignment horizontal="right"/>
    </xf>
    <xf numFmtId="185" fontId="0" fillId="0" borderId="0" xfId="0" applyNumberFormat="1" applyAlignment="1">
      <alignment horizontal="right"/>
    </xf>
    <xf numFmtId="188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20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eetMetadata" Target="metadata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'iMagic T1901+T1902'!$E$1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'iMagic T1901+T1902'!$F$1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'iMagic T1901+T1902'!$G$1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'iMagic T1901+T1902'!$E$29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'iMagic T1901+T1902'!$F$29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7.1975087624782372E-2"/>
          <c:y val="0.14292870905587668"/>
          <c:w val="0.90027342269432198"/>
          <c:h val="0.60100769195758041"/>
        </c:manualLayout>
      </c:layout>
      <c:lineChart>
        <c:grouping val="standard"/>
        <c:varyColors val="0"/>
        <c:ser>
          <c:idx val="0"/>
          <c:order val="0"/>
          <c:tx>
            <c:strRef>
              <c:f>'iMagic T1901+T1902'!$D$49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'iMagic T1901+T1902'!$E$49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'iMagic T1901+T1902'!$F$49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'iMagic T1901+T1902'!$G$49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'iMagic T1901+T1902'!$H$49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'iMagic T1901+T1902'!$I$49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64930698749535"/>
          <c:y val="0.82128897182649852"/>
          <c:w val="0.62371264474676413"/>
          <c:h val="0.15022469012182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iFlow T1901+T1932 -</a:t>
            </a:r>
            <a:r>
              <a:rPr lang="nl-NL" baseline="0"/>
              <a:t> Resistance2Power @ Speed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T1901+T1932'!$B$17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T1901+T1932'!$D$17:$Q$17</c:f>
              <c:numCache>
                <c:formatCode>0" W"\ </c:formatCode>
                <c:ptCount val="14"/>
                <c:pt idx="0">
                  <c:v>55.660193611484083</c:v>
                </c:pt>
                <c:pt idx="1">
                  <c:v>59.16194241384455</c:v>
                </c:pt>
                <c:pt idx="2">
                  <c:v>62.663691216205009</c:v>
                </c:pt>
                <c:pt idx="3">
                  <c:v>66.165440018565477</c:v>
                </c:pt>
                <c:pt idx="4">
                  <c:v>69.653720556301494</c:v>
                </c:pt>
                <c:pt idx="5">
                  <c:v>73.155469358661961</c:v>
                </c:pt>
                <c:pt idx="6">
                  <c:v>76.657218161022428</c:v>
                </c:pt>
                <c:pt idx="7">
                  <c:v>80.158966963382895</c:v>
                </c:pt>
                <c:pt idx="8">
                  <c:v>83.660715765743348</c:v>
                </c:pt>
                <c:pt idx="9">
                  <c:v>87.162464568103829</c:v>
                </c:pt>
                <c:pt idx="10">
                  <c:v>92.401619507020072</c:v>
                </c:pt>
                <c:pt idx="11">
                  <c:v>95.903368309380525</c:v>
                </c:pt>
                <c:pt idx="12">
                  <c:v>99.405117111741006</c:v>
                </c:pt>
                <c:pt idx="13">
                  <c:v>104.6577403152817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2-4CC4-ACE5-3F5F809460E3}"/>
            </c:ext>
          </c:extLst>
        </c:ser>
        <c:ser>
          <c:idx val="1"/>
          <c:order val="1"/>
          <c:tx>
            <c:strRef>
              <c:f>'iFlow T1901+T1932'!$B$19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T1901+T1932'!$D$19:$Q$19</c:f>
              <c:numCache>
                <c:formatCode>0" W"\ </c:formatCode>
                <c:ptCount val="14"/>
                <c:pt idx="0">
                  <c:v>124.10204401946226</c:v>
                </c:pt>
                <c:pt idx="1">
                  <c:v>134.30403129414321</c:v>
                </c:pt>
                <c:pt idx="2">
                  <c:v>144.50601856882417</c:v>
                </c:pt>
                <c:pt idx="3">
                  <c:v>154.70800584350513</c:v>
                </c:pt>
                <c:pt idx="4">
                  <c:v>164.87075470559117</c:v>
                </c:pt>
                <c:pt idx="5">
                  <c:v>175.07274198027213</c:v>
                </c:pt>
                <c:pt idx="6">
                  <c:v>185.27472925495312</c:v>
                </c:pt>
                <c:pt idx="7">
                  <c:v>195.47671652963402</c:v>
                </c:pt>
                <c:pt idx="8">
                  <c:v>205.67870380431503</c:v>
                </c:pt>
                <c:pt idx="9">
                  <c:v>215.88069107899597</c:v>
                </c:pt>
                <c:pt idx="10">
                  <c:v>231.14443357842248</c:v>
                </c:pt>
                <c:pt idx="11">
                  <c:v>241.34642085310341</c:v>
                </c:pt>
                <c:pt idx="12">
                  <c:v>251.54840812778443</c:v>
                </c:pt>
                <c:pt idx="13">
                  <c:v>266.85138903980584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2-4CC4-ACE5-3F5F809460E3}"/>
            </c:ext>
          </c:extLst>
        </c:ser>
        <c:ser>
          <c:idx val="2"/>
          <c:order val="2"/>
          <c:tx>
            <c:strRef>
              <c:f>'iFlow T1901+T1932'!$B$21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T1901+T1932'!$D$21:$Q$21</c:f>
              <c:numCache>
                <c:formatCode>0" W"\ </c:formatCode>
                <c:ptCount val="14"/>
                <c:pt idx="0">
                  <c:v>197.13428180808339</c:v>
                </c:pt>
                <c:pt idx="1">
                  <c:v>215.18520892078956</c:v>
                </c:pt>
                <c:pt idx="2">
                  <c:v>233.23613603349574</c:v>
                </c:pt>
                <c:pt idx="3">
                  <c:v>251.28706314620183</c:v>
                </c:pt>
                <c:pt idx="4">
                  <c:v>269.26856361616677</c:v>
                </c:pt>
                <c:pt idx="5">
                  <c:v>287.31949072887295</c:v>
                </c:pt>
                <c:pt idx="6">
                  <c:v>305.37041784157913</c:v>
                </c:pt>
                <c:pt idx="7">
                  <c:v>323.42134495428525</c:v>
                </c:pt>
                <c:pt idx="8">
                  <c:v>341.47227206699142</c:v>
                </c:pt>
                <c:pt idx="9">
                  <c:v>359.52319917969754</c:v>
                </c:pt>
                <c:pt idx="10">
                  <c:v>386.53016320601557</c:v>
                </c:pt>
                <c:pt idx="11">
                  <c:v>404.58109031872175</c:v>
                </c:pt>
                <c:pt idx="12">
                  <c:v>422.63201743142787</c:v>
                </c:pt>
                <c:pt idx="13">
                  <c:v>449.70840810048713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72-4CC4-ACE5-3F5F809460E3}"/>
            </c:ext>
          </c:extLst>
        </c:ser>
        <c:ser>
          <c:idx val="3"/>
          <c:order val="3"/>
          <c:tx>
            <c:strRef>
              <c:f>'iFlow T1901+T1932'!$B$23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T1901+T1932'!$D$23:$Q$23</c:f>
              <c:numCache>
                <c:formatCode>0" W"\ </c:formatCode>
                <c:ptCount val="14"/>
                <c:pt idx="0">
                  <c:v>272.33291871044457</c:v>
                </c:pt>
                <c:pt idx="1">
                  <c:v>298.77490670985003</c:v>
                </c:pt>
                <c:pt idx="2">
                  <c:v>325.21689470925548</c:v>
                </c:pt>
                <c:pt idx="3">
                  <c:v>351.65888270866088</c:v>
                </c:pt>
                <c:pt idx="4">
                  <c:v>377.99917075422252</c:v>
                </c:pt>
                <c:pt idx="5">
                  <c:v>404.44115875362792</c:v>
                </c:pt>
                <c:pt idx="6">
                  <c:v>430.88314675303337</c:v>
                </c:pt>
                <c:pt idx="7">
                  <c:v>457.32513475243883</c:v>
                </c:pt>
                <c:pt idx="8">
                  <c:v>483.76712275184428</c:v>
                </c:pt>
                <c:pt idx="9">
                  <c:v>510.20911075124974</c:v>
                </c:pt>
                <c:pt idx="10">
                  <c:v>549.77039279651399</c:v>
                </c:pt>
                <c:pt idx="11">
                  <c:v>576.21238079591944</c:v>
                </c:pt>
                <c:pt idx="12">
                  <c:v>602.65436879532479</c:v>
                </c:pt>
                <c:pt idx="13">
                  <c:v>642.31735079443308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72-4CC4-ACE5-3F5F809460E3}"/>
            </c:ext>
          </c:extLst>
        </c:ser>
        <c:ser>
          <c:idx val="4"/>
          <c:order val="4"/>
          <c:tx>
            <c:strRef>
              <c:f>'iFlow T1901+T1932'!$B$25</c:f>
              <c:strCache>
                <c:ptCount val="1"/>
                <c:pt idx="0">
                  <c:v>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T1901+T1932'!$D$25:$Q$25</c:f>
              <c:numCache>
                <c:formatCode>0" W"\ </c:formatCode>
                <c:ptCount val="14"/>
                <c:pt idx="0">
                  <c:v>348.72519573995356</c:v>
                </c:pt>
                <c:pt idx="1">
                  <c:v>383.85694186673055</c:v>
                </c:pt>
                <c:pt idx="2">
                  <c:v>418.98868799350748</c:v>
                </c:pt>
                <c:pt idx="3">
                  <c:v>454.12043412028447</c:v>
                </c:pt>
                <c:pt idx="4">
                  <c:v>489.11705814657387</c:v>
                </c:pt>
                <c:pt idx="5">
                  <c:v>524.24880427335074</c:v>
                </c:pt>
                <c:pt idx="6">
                  <c:v>559.38055040012773</c:v>
                </c:pt>
                <c:pt idx="7">
                  <c:v>594.51229652690472</c:v>
                </c:pt>
                <c:pt idx="8">
                  <c:v>629.64404265368171</c:v>
                </c:pt>
                <c:pt idx="9">
                  <c:v>664.7757887804587</c:v>
                </c:pt>
                <c:pt idx="10">
                  <c:v>717.33828587013647</c:v>
                </c:pt>
                <c:pt idx="11">
                  <c:v>752.47003199691358</c:v>
                </c:pt>
                <c:pt idx="12">
                  <c:v>787.60177812369034</c:v>
                </c:pt>
                <c:pt idx="13">
                  <c:v>840.29939731385582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72-4CC4-ACE5-3F5F809460E3}"/>
            </c:ext>
          </c:extLst>
        </c:ser>
        <c:ser>
          <c:idx val="5"/>
          <c:order val="5"/>
          <c:tx>
            <c:strRef>
              <c:f>'iFlow T1901+T1932'!$B$9</c:f>
              <c:strCache>
                <c:ptCount val="1"/>
                <c:pt idx="0">
                  <c:v>Antifier  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T1901+T1932'!$D$9:$Q$9</c:f>
              <c:numCache>
                <c:formatCode>0" W"\ </c:formatCode>
                <c:ptCount val="14"/>
                <c:pt idx="0">
                  <c:v>23.716999999999999</c:v>
                </c:pt>
                <c:pt idx="1">
                  <c:v>22.907999999999994</c:v>
                </c:pt>
                <c:pt idx="2">
                  <c:v>22.874000000000002</c:v>
                </c:pt>
                <c:pt idx="3">
                  <c:v>23.034999999999997</c:v>
                </c:pt>
                <c:pt idx="4">
                  <c:v>23.442999999999991</c:v>
                </c:pt>
                <c:pt idx="5">
                  <c:v>25.4</c:v>
                </c:pt>
                <c:pt idx="6">
                  <c:v>28.405999999999992</c:v>
                </c:pt>
                <c:pt idx="7">
                  <c:v>31.500000000000014</c:v>
                </c:pt>
                <c:pt idx="8">
                  <c:v>37.409999999999997</c:v>
                </c:pt>
                <c:pt idx="9">
                  <c:v>43.64200000000001</c:v>
                </c:pt>
                <c:pt idx="10">
                  <c:v>47.7</c:v>
                </c:pt>
                <c:pt idx="11">
                  <c:v>50.510000000000005</c:v>
                </c:pt>
                <c:pt idx="12">
                  <c:v>53.5</c:v>
                </c:pt>
                <c:pt idx="13">
                  <c:v>53.53000000000003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72-4CC4-ACE5-3F5F809460E3}"/>
            </c:ext>
          </c:extLst>
        </c:ser>
        <c:ser>
          <c:idx val="6"/>
          <c:order val="6"/>
          <c:tx>
            <c:strRef>
              <c:f>'iFlow T1901+T1932'!$B$10</c:f>
              <c:strCache>
                <c:ptCount val="1"/>
                <c:pt idx="0">
                  <c:v>Antifier  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T1901+T1932'!$D$10:$Q$10</c:f>
              <c:numCache>
                <c:formatCode>0" W"\ </c:formatCode>
                <c:ptCount val="14"/>
                <c:pt idx="0">
                  <c:v>76.781999999999996</c:v>
                </c:pt>
                <c:pt idx="1">
                  <c:v>78.915999999999997</c:v>
                </c:pt>
                <c:pt idx="2">
                  <c:v>82.748000000000005</c:v>
                </c:pt>
                <c:pt idx="3">
                  <c:v>89.882999999999996</c:v>
                </c:pt>
                <c:pt idx="4">
                  <c:v>98.48599999999999</c:v>
                </c:pt>
                <c:pt idx="5">
                  <c:v>109.9</c:v>
                </c:pt>
                <c:pt idx="6">
                  <c:v>122.31199999999998</c:v>
                </c:pt>
                <c:pt idx="7">
                  <c:v>136.10000000000002</c:v>
                </c:pt>
                <c:pt idx="8">
                  <c:v>154.91999999999999</c:v>
                </c:pt>
                <c:pt idx="9">
                  <c:v>173.79200000000003</c:v>
                </c:pt>
                <c:pt idx="10">
                  <c:v>189.7</c:v>
                </c:pt>
                <c:pt idx="11">
                  <c:v>203.51</c:v>
                </c:pt>
                <c:pt idx="12">
                  <c:v>219</c:v>
                </c:pt>
                <c:pt idx="13">
                  <c:v>231.16000000000005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72-4CC4-ACE5-3F5F809460E3}"/>
            </c:ext>
          </c:extLst>
        </c:ser>
        <c:ser>
          <c:idx val="7"/>
          <c:order val="7"/>
          <c:tx>
            <c:strRef>
              <c:f>'iFlow T1901+T1932'!$B$11</c:f>
              <c:strCache>
                <c:ptCount val="1"/>
                <c:pt idx="0">
                  <c:v>Antifier  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T1901+T1932'!$D$11:$Q$11</c:f>
              <c:numCache>
                <c:formatCode>0" W"\ </c:formatCode>
                <c:ptCount val="14"/>
                <c:pt idx="0">
                  <c:v>129.84699999999998</c:v>
                </c:pt>
                <c:pt idx="1">
                  <c:v>134.92400000000001</c:v>
                </c:pt>
                <c:pt idx="2">
                  <c:v>142.62200000000001</c:v>
                </c:pt>
                <c:pt idx="3">
                  <c:v>156.73099999999999</c:v>
                </c:pt>
                <c:pt idx="4">
                  <c:v>173.529</c:v>
                </c:pt>
                <c:pt idx="5">
                  <c:v>194.39999999999998</c:v>
                </c:pt>
                <c:pt idx="6">
                  <c:v>216.21799999999996</c:v>
                </c:pt>
                <c:pt idx="7">
                  <c:v>240.70000000000002</c:v>
                </c:pt>
                <c:pt idx="8">
                  <c:v>272.42999999999995</c:v>
                </c:pt>
                <c:pt idx="9">
                  <c:v>303.94200000000006</c:v>
                </c:pt>
                <c:pt idx="10">
                  <c:v>331.7</c:v>
                </c:pt>
                <c:pt idx="11">
                  <c:v>356.51</c:v>
                </c:pt>
                <c:pt idx="12">
                  <c:v>384.5</c:v>
                </c:pt>
                <c:pt idx="13">
                  <c:v>408.79000000000008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72-4CC4-ACE5-3F5F809460E3}"/>
            </c:ext>
          </c:extLst>
        </c:ser>
        <c:ser>
          <c:idx val="8"/>
          <c:order val="8"/>
          <c:tx>
            <c:strRef>
              <c:f>'iFlow T1901+T1932'!$B$12</c:f>
              <c:strCache>
                <c:ptCount val="1"/>
                <c:pt idx="0">
                  <c:v>Antifier  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T1901+T1932'!$D$12:$Q$12</c:f>
              <c:numCache>
                <c:formatCode>0" W"\ </c:formatCode>
                <c:ptCount val="14"/>
                <c:pt idx="0">
                  <c:v>182.91199999999998</c:v>
                </c:pt>
                <c:pt idx="1">
                  <c:v>190.93199999999999</c:v>
                </c:pt>
                <c:pt idx="2">
                  <c:v>202.49600000000001</c:v>
                </c:pt>
                <c:pt idx="3">
                  <c:v>223.57900000000001</c:v>
                </c:pt>
                <c:pt idx="4">
                  <c:v>248.57199999999997</c:v>
                </c:pt>
                <c:pt idx="5">
                  <c:v>278.89999999999998</c:v>
                </c:pt>
                <c:pt idx="6">
                  <c:v>310.12399999999997</c:v>
                </c:pt>
                <c:pt idx="7">
                  <c:v>345.30000000000007</c:v>
                </c:pt>
                <c:pt idx="8">
                  <c:v>389.93999999999994</c:v>
                </c:pt>
                <c:pt idx="9">
                  <c:v>434.09200000000004</c:v>
                </c:pt>
                <c:pt idx="10">
                  <c:v>473.7</c:v>
                </c:pt>
                <c:pt idx="11">
                  <c:v>509.51</c:v>
                </c:pt>
                <c:pt idx="12">
                  <c:v>550</c:v>
                </c:pt>
                <c:pt idx="13">
                  <c:v>586.42000000000007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72-4CC4-ACE5-3F5F809460E3}"/>
            </c:ext>
          </c:extLst>
        </c:ser>
        <c:ser>
          <c:idx val="9"/>
          <c:order val="9"/>
          <c:tx>
            <c:strRef>
              <c:f>'iFlow T1901+T1932'!$B$13</c:f>
              <c:strCache>
                <c:ptCount val="1"/>
                <c:pt idx="0">
                  <c:v>Antifier  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T1901+T1932'!$D$13:$Q$13</c:f>
              <c:numCache>
                <c:formatCode>0" W"\ </c:formatCode>
                <c:ptCount val="14"/>
                <c:pt idx="0">
                  <c:v>235.97699999999998</c:v>
                </c:pt>
                <c:pt idx="1">
                  <c:v>246.93999999999997</c:v>
                </c:pt>
                <c:pt idx="2">
                  <c:v>262.37</c:v>
                </c:pt>
                <c:pt idx="3">
                  <c:v>290.42700000000002</c:v>
                </c:pt>
                <c:pt idx="4">
                  <c:v>323.61499999999995</c:v>
                </c:pt>
                <c:pt idx="5">
                  <c:v>363.39999999999992</c:v>
                </c:pt>
                <c:pt idx="6">
                  <c:v>404.03</c:v>
                </c:pt>
                <c:pt idx="7">
                  <c:v>449.9</c:v>
                </c:pt>
                <c:pt idx="8">
                  <c:v>507.44999999999993</c:v>
                </c:pt>
                <c:pt idx="9">
                  <c:v>564.24199999999996</c:v>
                </c:pt>
                <c:pt idx="10">
                  <c:v>615.70000000000005</c:v>
                </c:pt>
                <c:pt idx="11">
                  <c:v>662.51</c:v>
                </c:pt>
                <c:pt idx="12">
                  <c:v>715.5</c:v>
                </c:pt>
                <c:pt idx="13">
                  <c:v>764.05000000000007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72-4CC4-ACE5-3F5F8094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27360"/>
        <c:axId val="622526704"/>
      </c:lineChart>
      <c:catAx>
        <c:axId val="6225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22526704"/>
        <c:crosses val="autoZero"/>
        <c:auto val="1"/>
        <c:lblAlgn val="ctr"/>
        <c:lblOffset val="100"/>
        <c:noMultiLvlLbl val="0"/>
      </c:catAx>
      <c:valAx>
        <c:axId val="622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225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400" b="0" i="0" u="none" strike="noStrike" baseline="0">
                <a:effectLst/>
              </a:rPr>
              <a:t>iFlow T1901+T1932 - </a:t>
            </a:r>
            <a:r>
              <a:rPr lang="nl-NL"/>
              <a:t>Speed2Power</a:t>
            </a:r>
            <a:r>
              <a:rPr lang="nl-NL" baseline="0"/>
              <a:t> @Resistance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T1901+T1932'!$D$3</c:f>
              <c:strCache>
                <c:ptCount val="1"/>
                <c:pt idx="0">
                  <c:v>1039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T1901+T1932'!$B$15:$B$25</c:f>
              <c:numCache>
                <c:formatCode>"FortiusANT "General" km/hr"</c:formatCode>
                <c:ptCount val="11"/>
                <c:pt idx="0">
                  <c:v>0</c:v>
                </c:pt>
                <c:pt idx="1">
                  <c:v>5</c:v>
                </c:pt>
                <c:pt idx="2" formatCode="General\ &quot;km/hr&quot;">
                  <c:v>10</c:v>
                </c:pt>
                <c:pt idx="3" formatCode="General\ &quot;km/hr&quot;">
                  <c:v>15</c:v>
                </c:pt>
                <c:pt idx="4" formatCode="General\ &quot;km/hr&quot;">
                  <c:v>20</c:v>
                </c:pt>
                <c:pt idx="5" formatCode="General\ &quot;km/hr&quot;">
                  <c:v>25</c:v>
                </c:pt>
                <c:pt idx="6" formatCode="General\ &quot;km/hr&quot;">
                  <c:v>30</c:v>
                </c:pt>
                <c:pt idx="7" formatCode="General\ &quot;km/hr&quot;">
                  <c:v>35</c:v>
                </c:pt>
                <c:pt idx="8" formatCode="General\ &quot;km/hr&quot;">
                  <c:v>40</c:v>
                </c:pt>
                <c:pt idx="9" formatCode="General\ &quot;km/hr&quot;">
                  <c:v>45</c:v>
                </c:pt>
                <c:pt idx="10" formatCode="General\ &quot;km/hr&quot;">
                  <c:v>50</c:v>
                </c:pt>
              </c:numCache>
            </c:numRef>
          </c:cat>
          <c:val>
            <c:numRef>
              <c:f>'iFlow T1901+T1932'!$D$15:$D$25</c:f>
              <c:numCache>
                <c:formatCode>0" W"\ </c:formatCode>
                <c:ptCount val="11"/>
                <c:pt idx="0">
                  <c:v>0</c:v>
                </c:pt>
                <c:pt idx="1">
                  <c:v>25.133654766998795</c:v>
                </c:pt>
                <c:pt idx="2">
                  <c:v>55.660193611484083</c:v>
                </c:pt>
                <c:pt idx="3">
                  <c:v>89.036762856783611</c:v>
                </c:pt>
                <c:pt idx="4">
                  <c:v>124.10204401946226</c:v>
                </c:pt>
                <c:pt idx="5">
                  <c:v>160.25021392051192</c:v>
                </c:pt>
                <c:pt idx="6">
                  <c:v>197.13428180808339</c:v>
                </c:pt>
                <c:pt idx="7">
                  <c:v>234.54119916450071</c:v>
                </c:pt>
                <c:pt idx="8">
                  <c:v>272.33291871044457</c:v>
                </c:pt>
                <c:pt idx="9">
                  <c:v>310.41605998835178</c:v>
                </c:pt>
                <c:pt idx="10">
                  <c:v>348.72519573995356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5-4564-AA53-E4A2713FDE8B}"/>
            </c:ext>
          </c:extLst>
        </c:ser>
        <c:ser>
          <c:idx val="1"/>
          <c:order val="1"/>
          <c:tx>
            <c:strRef>
              <c:f>'iFlow T1901+T1932'!$G$3</c:f>
              <c:strCache>
                <c:ptCount val="1"/>
                <c:pt idx="0">
                  <c:v>1819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T1901+T1932'!$G$15:$G$25</c:f>
              <c:numCache>
                <c:formatCode>0" W"\ </c:formatCode>
                <c:ptCount val="11"/>
                <c:pt idx="0">
                  <c:v>0</c:v>
                </c:pt>
                <c:pt idx="1">
                  <c:v>28.362000020376144</c:v>
                </c:pt>
                <c:pt idx="2">
                  <c:v>66.165440018565477</c:v>
                </c:pt>
                <c:pt idx="3">
                  <c:v>108.95849050672705</c:v>
                </c:pt>
                <c:pt idx="4">
                  <c:v>154.70800584350513</c:v>
                </c:pt>
                <c:pt idx="5">
                  <c:v>202.35335815342751</c:v>
                </c:pt>
                <c:pt idx="6">
                  <c:v>251.28706314620183</c:v>
                </c:pt>
                <c:pt idx="7">
                  <c:v>301.13613212726347</c:v>
                </c:pt>
                <c:pt idx="8">
                  <c:v>351.65888270866088</c:v>
                </c:pt>
                <c:pt idx="9">
                  <c:v>402.69183168316829</c:v>
                </c:pt>
                <c:pt idx="10">
                  <c:v>454.12043412028447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5-4564-AA53-E4A2713FDE8B}"/>
            </c:ext>
          </c:extLst>
        </c:ser>
        <c:ser>
          <c:idx val="2"/>
          <c:order val="2"/>
          <c:tx>
            <c:strRef>
              <c:f>'iFlow T1901+T1932'!$J$3</c:f>
              <c:strCache>
                <c:ptCount val="1"/>
                <c:pt idx="0">
                  <c:v>2598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T1901+T1932'!$J$15:$J$25</c:f>
              <c:numCache>
                <c:formatCode>0" W"\ </c:formatCode>
                <c:ptCount val="11"/>
                <c:pt idx="0">
                  <c:v>0</c:v>
                </c:pt>
                <c:pt idx="1">
                  <c:v>31.586206369582488</c:v>
                </c:pt>
                <c:pt idx="2">
                  <c:v>76.657218161022428</c:v>
                </c:pt>
                <c:pt idx="3">
                  <c:v>128.85467748019619</c:v>
                </c:pt>
                <c:pt idx="4">
                  <c:v>185.27472925495312</c:v>
                </c:pt>
                <c:pt idx="5">
                  <c:v>244.40252399630089</c:v>
                </c:pt>
                <c:pt idx="6">
                  <c:v>305.37041784157913</c:v>
                </c:pt>
                <c:pt idx="7">
                  <c:v>367.6456869708432</c:v>
                </c:pt>
                <c:pt idx="8">
                  <c:v>430.88314675303337</c:v>
                </c:pt>
                <c:pt idx="9">
                  <c:v>494.84930110658121</c:v>
                </c:pt>
                <c:pt idx="10">
                  <c:v>559.38055040012773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5-4564-AA53-E4A2713FDE8B}"/>
            </c:ext>
          </c:extLst>
        </c:ser>
        <c:ser>
          <c:idx val="3"/>
          <c:order val="3"/>
          <c:tx>
            <c:strRef>
              <c:f>'iFlow T1901+T1932'!$L$3</c:f>
              <c:strCache>
                <c:ptCount val="1"/>
                <c:pt idx="0">
                  <c:v>3118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T1901+T1932'!$L$15:$L$25</c:f>
              <c:numCache>
                <c:formatCode>0" W"\ </c:formatCode>
                <c:ptCount val="11"/>
                <c:pt idx="0">
                  <c:v>0</c:v>
                </c:pt>
                <c:pt idx="1">
                  <c:v>33.738436538500721</c:v>
                </c:pt>
                <c:pt idx="2">
                  <c:v>83.660715765743348</c:v>
                </c:pt>
                <c:pt idx="3">
                  <c:v>142.13582924682512</c:v>
                </c:pt>
                <c:pt idx="4">
                  <c:v>205.67870380431503</c:v>
                </c:pt>
                <c:pt idx="5">
                  <c:v>272.47128681824461</c:v>
                </c:pt>
                <c:pt idx="6">
                  <c:v>341.47227206699142</c:v>
                </c:pt>
                <c:pt idx="7">
                  <c:v>412.04230894601847</c:v>
                </c:pt>
                <c:pt idx="8">
                  <c:v>483.76712275184428</c:v>
                </c:pt>
                <c:pt idx="9">
                  <c:v>556.36648223645886</c:v>
                </c:pt>
                <c:pt idx="10">
                  <c:v>629.64404265368171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5-4564-AA53-E4A2713FDE8B}"/>
            </c:ext>
          </c:extLst>
        </c:ser>
        <c:ser>
          <c:idx val="4"/>
          <c:order val="4"/>
          <c:tx>
            <c:strRef>
              <c:f>'iFlow T1901+T1932'!$O$3</c:f>
              <c:strCache>
                <c:ptCount val="1"/>
                <c:pt idx="0">
                  <c:v>4027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T1901+T1932'!$O$15:$O$25</c:f>
              <c:numCache>
                <c:formatCode>0" W"\ </c:formatCode>
                <c:ptCount val="11"/>
                <c:pt idx="0">
                  <c:v>0</c:v>
                </c:pt>
                <c:pt idx="1">
                  <c:v>37.500700429936629</c:v>
                </c:pt>
                <c:pt idx="2">
                  <c:v>95.903368309380525</c:v>
                </c:pt>
                <c:pt idx="3">
                  <c:v>165.35230416195148</c:v>
                </c:pt>
                <c:pt idx="4">
                  <c:v>241.34642085310341</c:v>
                </c:pt>
                <c:pt idx="5">
                  <c:v>321.53764336660402</c:v>
                </c:pt>
                <c:pt idx="6">
                  <c:v>404.58109031872175</c:v>
                </c:pt>
                <c:pt idx="7">
                  <c:v>489.65101928339203</c:v>
                </c:pt>
                <c:pt idx="8">
                  <c:v>576.21238079591944</c:v>
                </c:pt>
                <c:pt idx="9">
                  <c:v>663.90324694234118</c:v>
                </c:pt>
                <c:pt idx="10">
                  <c:v>752.47003199691358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5-4564-AA53-E4A2713FDE8B}"/>
            </c:ext>
          </c:extLst>
        </c:ser>
        <c:ser>
          <c:idx val="5"/>
          <c:order val="5"/>
          <c:tx>
            <c:strRef>
              <c:f>'iFlow T1901+T1932'!$Q$3</c:f>
              <c:strCache>
                <c:ptCount val="1"/>
                <c:pt idx="0">
                  <c:v>4677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T1901+T1932'!$Q$15:$Q$25</c:f>
              <c:numCache>
                <c:formatCode>0" W"\ </c:formatCode>
                <c:ptCount val="11"/>
                <c:pt idx="0">
                  <c:v>0</c:v>
                </c:pt>
                <c:pt idx="1">
                  <c:v>40.190988141084418</c:v>
                </c:pt>
                <c:pt idx="2">
                  <c:v>104.6577403152817</c:v>
                </c:pt>
                <c:pt idx="3">
                  <c:v>181.9537438702377</c:v>
                </c:pt>
                <c:pt idx="4">
                  <c:v>266.85138903980584</c:v>
                </c:pt>
                <c:pt idx="5">
                  <c:v>356.6235968940336</c:v>
                </c:pt>
                <c:pt idx="6">
                  <c:v>449.70840810048713</c:v>
                </c:pt>
                <c:pt idx="7">
                  <c:v>545.14679675236107</c:v>
                </c:pt>
                <c:pt idx="8">
                  <c:v>642.31735079443308</c:v>
                </c:pt>
                <c:pt idx="9">
                  <c:v>740.79972335468835</c:v>
                </c:pt>
                <c:pt idx="10">
                  <c:v>840.29939731385582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5-4564-AA53-E4A2713F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719288"/>
        <c:axId val="950719944"/>
      </c:lineChart>
      <c:catAx>
        <c:axId val="950719288"/>
        <c:scaling>
          <c:orientation val="minMax"/>
        </c:scaling>
        <c:delete val="0"/>
        <c:axPos val="b"/>
        <c:numFmt formatCode="#,##0.0&quot; km/uu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50719944"/>
        <c:crosses val="autoZero"/>
        <c:auto val="1"/>
        <c:lblAlgn val="ctr"/>
        <c:lblOffset val="100"/>
        <c:noMultiLvlLbl val="0"/>
      </c:catAx>
      <c:valAx>
        <c:axId val="9507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5071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C3CF7E-7303-4BFD-956A-111CBAE9BEAA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EFCDC4-EB65-4C30-B14E-D83648EC57E5}">
  <sheetPr codeName="Chart2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46</xdr:row>
      <xdr:rowOff>179070</xdr:rowOff>
    </xdr:from>
    <xdr:to>
      <xdr:col>18</xdr:col>
      <xdr:colOff>152400</xdr:colOff>
      <xdr:row>65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workbookViewId="0">
      <selection activeCell="F4" sqref="F4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>Speed2Power(G$3,$F4,$E$3)</f>
        <v>-18.923237525720168</v>
      </c>
      <c r="H4" s="77">
        <f t="shared" ref="G4:P7" si="0">Speed2Power(H$3,$F4,$E$3)</f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  <c r="T4" s="91" cm="1">
        <f t="array" ref="T4">Power2Speed(G4, $F4, $E$3)</f>
        <v>50</v>
      </c>
      <c r="U4" s="91" cm="1">
        <f t="array" ref="U4">Power2Speed(H4, $F4, $E$3)</f>
        <v>50</v>
      </c>
      <c r="V4" s="91" cm="1">
        <f t="array" ref="V4">Power2Speed(I4, $F4, $E$3)</f>
        <v>46</v>
      </c>
      <c r="W4" s="91" cm="1">
        <f t="array" ref="W4">Power2Speed(J4, $F4, $E$3)</f>
        <v>42</v>
      </c>
      <c r="X4" s="91" cm="1">
        <f t="array" ref="X4">Power2Speed(K4, $F4, $E$3)</f>
        <v>37</v>
      </c>
      <c r="Y4" s="91" cm="1">
        <f t="array" ref="Y4">Power2Speed(L4, $F4, $E$3)</f>
        <v>37</v>
      </c>
      <c r="Z4" s="91" cm="1">
        <f t="array" ref="Z4">Power2Speed(M4, $F4, $E$3)</f>
        <v>37</v>
      </c>
      <c r="AA4" s="91" cm="1">
        <f t="array" ref="AA4">Power2Speed(N4, $F4, $E$3)</f>
        <v>39</v>
      </c>
      <c r="AB4" s="91" cm="1">
        <f t="array" ref="AB4">Power2Speed(O4, $F4, $E$3)</f>
        <v>46</v>
      </c>
      <c r="AC4" s="91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  <c r="T5" s="91" cm="1">
        <f t="array" ref="T5">Power2Speed(G5, $F5, $E$3)</f>
        <v>5.060546875</v>
      </c>
      <c r="U5" s="91" cm="1">
        <f t="array" ref="U5">Power2Speed(H5, $F5, $E$3)</f>
        <v>9.89453125</v>
      </c>
      <c r="V5" s="91" cm="1">
        <f t="array" ref="V5">Power2Speed(I5, $F5, $E$3)</f>
        <v>15.30859375</v>
      </c>
      <c r="W5" s="91" cm="1">
        <f t="array" ref="W5">Power2Speed(J5, $F5, $E$3)</f>
        <v>20.3359375</v>
      </c>
      <c r="X5" s="91" cm="1">
        <f t="array" ref="X5">Power2Speed(K5, $F5, $E$3)</f>
        <v>24.9765625</v>
      </c>
      <c r="Y5" s="91" cm="1">
        <f t="array" ref="Y5">Power2Speed(L5, $F5, $E$3)</f>
        <v>29.6171875</v>
      </c>
      <c r="Z5" s="91" cm="1">
        <f t="array" ref="Z5">Power2Speed(M5, $F5, $E$3)</f>
        <v>33.484375</v>
      </c>
      <c r="AA5" s="91" cm="1">
        <f t="array" ref="AA5">Power2Speed(N5, $F5, $E$3)</f>
        <v>39.671875</v>
      </c>
      <c r="AB5" s="91" cm="1">
        <f t="array" ref="AB5">Power2Speed(O5, $F5, $E$3)</f>
        <v>45.859375</v>
      </c>
      <c r="AC5" s="91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  <c r="T6" s="91" cm="1">
        <f t="array" ref="T6">Power2Speed(G6, $F6, $E$3)</f>
        <v>5.060546875</v>
      </c>
      <c r="U6" s="91" cm="1">
        <f t="array" ref="U6">Power2Speed(H6, $F6, $E$3)</f>
        <v>9.89453125</v>
      </c>
      <c r="V6" s="91" cm="1">
        <f t="array" ref="V6">Power2Speed(I6, $F6, $E$3)</f>
        <v>15.30859375</v>
      </c>
      <c r="W6" s="91" cm="1">
        <f t="array" ref="W6">Power2Speed(J6, $F6, $E$3)</f>
        <v>20.3359375</v>
      </c>
      <c r="X6" s="91" cm="1">
        <f t="array" ref="X6">Power2Speed(K6, $F6, $E$3)</f>
        <v>24.9765625</v>
      </c>
      <c r="Y6" s="91" cm="1">
        <f t="array" ref="Y6">Power2Speed(L6, $F6, $E$3)</f>
        <v>29.6171875</v>
      </c>
      <c r="Z6" s="91" cm="1">
        <f t="array" ref="Z6">Power2Speed(M6, $F6, $E$3)</f>
        <v>33.484375</v>
      </c>
      <c r="AA6" s="91" cm="1">
        <f t="array" ref="AA6">Power2Speed(N6, $F6, $E$3)</f>
        <v>39.671875</v>
      </c>
      <c r="AB6" s="91" cm="1">
        <f t="array" ref="AB6">Power2Speed(O6, $F6, $E$3)</f>
        <v>45.859375</v>
      </c>
      <c r="AC6" s="91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  <c r="T7" s="91" cm="1">
        <f t="array" ref="T7">Power2Speed(G7, $F7, $E$3)</f>
        <v>5.060546875</v>
      </c>
      <c r="U7" s="91" cm="1">
        <f t="array" ref="U7">Power2Speed(H7, $F7, $E$3)</f>
        <v>9.89453125</v>
      </c>
      <c r="V7" s="91" cm="1">
        <f t="array" ref="V7">Power2Speed(I7, $F7, $E$3)</f>
        <v>15.30859375</v>
      </c>
      <c r="W7" s="91" cm="1">
        <f t="array" ref="W7">Power2Speed(J7, $F7, $E$3)</f>
        <v>20.3359375</v>
      </c>
      <c r="X7" s="91" cm="1">
        <f t="array" ref="X7">Power2Speed(K7, $F7, $E$3)</f>
        <v>24.9765625</v>
      </c>
      <c r="Y7" s="91" cm="1">
        <f t="array" ref="Y7">Power2Speed(L7, $F7, $E$3)</f>
        <v>29.6171875</v>
      </c>
      <c r="Z7" s="91" cm="1">
        <f t="array" ref="Z7">Power2Speed(M7, $F7, $E$3)</f>
        <v>33.484375</v>
      </c>
      <c r="AA7" s="91" cm="1">
        <f t="array" ref="AA7">Power2Speed(N7, $F7, $E$3)</f>
        <v>39.671875</v>
      </c>
      <c r="AB7" s="91" cm="1">
        <f t="array" ref="AB7">Power2Speed(O7, $F7, $E$3)</f>
        <v>45.859375</v>
      </c>
      <c r="AC7" s="91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4.4" x14ac:dyDescent="0.3"/>
  <cols>
    <col min="2" max="2" width="41.33203125" bestFit="1" customWidth="1"/>
    <col min="3" max="3" width="7.44140625" bestFit="1" customWidth="1"/>
    <col min="4" max="9" width="5.6640625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8" spans="3:6" x14ac:dyDescent="0.3">
      <c r="C48" t="s">
        <v>126</v>
      </c>
      <c r="D48">
        <v>4</v>
      </c>
      <c r="F48" t="s">
        <v>127</v>
      </c>
    </row>
    <row r="49" spans="3:9" x14ac:dyDescent="0.3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3">
      <c r="C50">
        <v>50</v>
      </c>
      <c r="D50">
        <v>32</v>
      </c>
      <c r="E50" cm="1">
        <f t="array" ref="E50">Resistance2PowerLegacy($D$48,$C50, E$49)</f>
        <v>35.098453744201912</v>
      </c>
      <c r="F50">
        <v>89</v>
      </c>
      <c r="G50" cm="1">
        <f t="array" ref="G50">Resistance2PowerLegacy($D$48,$C50, G$49)</f>
        <v>80.339006253835919</v>
      </c>
      <c r="H50">
        <v>140</v>
      </c>
      <c r="I50" cm="1">
        <f t="array" ref="I50">Resistance2PowerLegacy($D$48,$C50, I$49)</f>
        <v>141.01165752890202</v>
      </c>
    </row>
    <row r="51" spans="3:9" x14ac:dyDescent="0.3">
      <c r="C51">
        <v>60</v>
      </c>
      <c r="D51">
        <v>34</v>
      </c>
      <c r="E51" cm="1">
        <f t="array" ref="E51">Resistance2PowerLegacy($D$48,$C51, E$49)</f>
        <v>37.718144493042288</v>
      </c>
      <c r="F51">
        <v>93</v>
      </c>
      <c r="G51" cm="1">
        <f t="array" ref="G51">Resistance2PowerLegacy($D$48,$C51, G$49)</f>
        <v>87.606807504603097</v>
      </c>
      <c r="H51">
        <v>150</v>
      </c>
      <c r="I51" cm="1">
        <f t="array" ref="I51">Resistance2PowerLegacy($D$48,$C51, I$49)</f>
        <v>156.01398903468242</v>
      </c>
    </row>
    <row r="52" spans="3:9" x14ac:dyDescent="0.3">
      <c r="C52">
        <v>70</v>
      </c>
      <c r="D52">
        <v>35</v>
      </c>
      <c r="E52" cm="1">
        <f t="array" ref="E52">Resistance2PowerLegacy($D$48,$C52, E$49)</f>
        <v>40.337835241882672</v>
      </c>
      <c r="F52">
        <v>100</v>
      </c>
      <c r="G52" cm="1">
        <f t="array" ref="G52">Resistance2PowerLegacy($D$48,$C52, G$49)</f>
        <v>94.874608755370289</v>
      </c>
      <c r="H52">
        <v>160</v>
      </c>
      <c r="I52" cm="1">
        <f t="array" ref="I52">Resistance2PowerLegacy($D$48,$C52, I$49)</f>
        <v>171.01632054046283</v>
      </c>
    </row>
    <row r="53" spans="3:9" x14ac:dyDescent="0.3">
      <c r="C53">
        <v>80</v>
      </c>
      <c r="D53">
        <v>38</v>
      </c>
      <c r="E53" cm="1">
        <f t="array" ref="E53">Resistance2PowerLegacy($D$48,$C53, E$49)</f>
        <v>42.957525990723056</v>
      </c>
      <c r="F53">
        <v>105</v>
      </c>
      <c r="G53" cm="1">
        <f t="array" ref="G53">Resistance2PowerLegacy($D$48,$C53, G$49)</f>
        <v>102.14241000613748</v>
      </c>
      <c r="H53">
        <v>170</v>
      </c>
      <c r="I53" cm="1">
        <f t="array" ref="I53">Resistance2PowerLegacy($D$48,$C53, I$49)</f>
        <v>186.01865204624323</v>
      </c>
    </row>
    <row r="54" spans="3:9" x14ac:dyDescent="0.3">
      <c r="C54">
        <v>90</v>
      </c>
      <c r="D54">
        <v>40</v>
      </c>
      <c r="E54" cm="1">
        <f t="array" ref="E54">Resistance2PowerLegacy($D$48,$C54, E$49)</f>
        <v>45.57721673956344</v>
      </c>
      <c r="F54">
        <v>112</v>
      </c>
      <c r="G54" cm="1">
        <f t="array" ref="G54">Resistance2PowerLegacy($D$48,$C54, G$49)</f>
        <v>109.41021125690466</v>
      </c>
      <c r="H54">
        <v>193</v>
      </c>
      <c r="I54" cm="1">
        <f t="array" ref="I54">Resistance2PowerLegacy($D$48,$C54, I$49)</f>
        <v>201.02098355202364</v>
      </c>
    </row>
    <row r="55" spans="3:9" x14ac:dyDescent="0.3">
      <c r="C55">
        <v>100</v>
      </c>
      <c r="D55">
        <v>42</v>
      </c>
      <c r="E55" cm="1">
        <f t="array" ref="E55">Resistance2PowerLegacy($D$48,$C55, E$49)</f>
        <v>48.196907488403824</v>
      </c>
      <c r="F55">
        <v>128</v>
      </c>
      <c r="G55" cm="1">
        <f t="array" ref="G55">Resistance2PowerLegacy($D$48,$C55, G$49)</f>
        <v>116.67801250767184</v>
      </c>
      <c r="H55">
        <v>210</v>
      </c>
      <c r="I55" cm="1">
        <f t="array" ref="I55">Resistance2PowerLegacy($D$48,$C55, I$49)</f>
        <v>216.02331505780404</v>
      </c>
    </row>
    <row r="56" spans="3:9" x14ac:dyDescent="0.3">
      <c r="C56">
        <v>110</v>
      </c>
      <c r="D56">
        <v>48</v>
      </c>
      <c r="E56" cm="1">
        <f t="array" ref="E56">Resistance2PowerLegacy($D$48,$C56, E$49)</f>
        <v>50.8165982372442</v>
      </c>
      <c r="F56">
        <v>139</v>
      </c>
      <c r="G56" cm="1">
        <f t="array" ref="G56">Resistance2PowerLegacy($D$48,$C56, G$49)</f>
        <v>123.94581375843903</v>
      </c>
      <c r="H56">
        <v>230</v>
      </c>
      <c r="I56" cm="1">
        <f t="array" ref="I56">Resistance2PowerLegacy($D$48,$C56, I$49)</f>
        <v>231.02564656358444</v>
      </c>
    </row>
    <row r="57" spans="3:9" x14ac:dyDescent="0.3">
      <c r="C57">
        <v>120</v>
      </c>
      <c r="D57">
        <v>50</v>
      </c>
      <c r="E57" cm="1">
        <f t="array" ref="E57">Resistance2PowerLegacy($D$48,$C57, E$49)</f>
        <v>53.436288986084584</v>
      </c>
      <c r="F57">
        <v>142</v>
      </c>
      <c r="G57" cm="1">
        <f t="array" ref="G57">Resistance2PowerLegacy($D$48,$C57, G$49)</f>
        <v>131.21361500920619</v>
      </c>
      <c r="H57">
        <v>235</v>
      </c>
      <c r="I57" cm="1">
        <f t="array" ref="I57">Resistance2PowerLegacy($D$48,$C57, I$49)</f>
        <v>246.02797806936485</v>
      </c>
    </row>
    <row r="58" spans="3:9" x14ac:dyDescent="0.3">
      <c r="C58">
        <v>130</v>
      </c>
      <c r="D58">
        <v>50</v>
      </c>
      <c r="E58" cm="1">
        <f t="array" ref="E58">Resistance2PowerLegacy($D$48,$C58, E$49)</f>
        <v>56.055979734924968</v>
      </c>
      <c r="F58">
        <v>145</v>
      </c>
      <c r="G58" cm="1">
        <f t="array" ref="G58">Resistance2PowerLegacy($D$48,$C58, G$49)</f>
        <v>138.4814162599734</v>
      </c>
      <c r="H58">
        <v>245</v>
      </c>
      <c r="I58" cm="1">
        <f t="array" ref="I58">Resistance2PowerLegacy($D$48,$C58, I$49)</f>
        <v>261.03030957514522</v>
      </c>
    </row>
    <row r="59" spans="3:9" x14ac:dyDescent="0.3">
      <c r="C59">
        <v>140</v>
      </c>
      <c r="D59">
        <v>52</v>
      </c>
      <c r="E59" cm="1">
        <f t="array" ref="E59">Resistance2PowerLegacy($D$48,$C59, E$49)</f>
        <v>58.675670483765344</v>
      </c>
      <c r="F59">
        <v>152</v>
      </c>
      <c r="G59" cm="1">
        <f t="array" ref="G59">Resistance2PowerLegacy($D$48,$C59, G$49)</f>
        <v>145.74921751074058</v>
      </c>
      <c r="H59">
        <v>250</v>
      </c>
      <c r="I59" cm="1">
        <f t="array" ref="I59">Resistance2PowerLegacy($D$48,$C59, I$49)</f>
        <v>276.03264108092566</v>
      </c>
    </row>
    <row r="60" spans="3:9" x14ac:dyDescent="0.3">
      <c r="C60">
        <v>150</v>
      </c>
      <c r="D60">
        <v>58</v>
      </c>
      <c r="E60" cm="1">
        <f t="array" ref="E60">Resistance2PowerLegacy($D$48,$C60, E$49)</f>
        <v>61.295361232605728</v>
      </c>
      <c r="F60">
        <v>162</v>
      </c>
      <c r="G60" cm="1">
        <f t="array" ref="G60">Resistance2PowerLegacy($D$48,$C60, G$49)</f>
        <v>153.01701876150776</v>
      </c>
      <c r="H60">
        <v>265</v>
      </c>
      <c r="I60" cm="1">
        <f t="array" ref="I60">Resistance2PowerLegacy($D$48,$C60, I$49)</f>
        <v>291.03497258670609</v>
      </c>
    </row>
    <row r="61" spans="3:9" x14ac:dyDescent="0.3">
      <c r="C61">
        <v>160</v>
      </c>
      <c r="D61">
        <v>60</v>
      </c>
      <c r="E61" cm="1">
        <f t="array" ref="E61">Resistance2PowerLegacy($D$48,$C61, E$49)</f>
        <v>63.915051981446112</v>
      </c>
      <c r="F61">
        <v>180</v>
      </c>
      <c r="G61" cm="1">
        <f t="array" ref="G61">Resistance2PowerLegacy($D$48,$C61, G$49)</f>
        <v>160.28482001227496</v>
      </c>
      <c r="H61">
        <v>285</v>
      </c>
      <c r="I61" cm="1">
        <f t="array" ref="I61">Resistance2PowerLegacy($D$48,$C61, I$49)</f>
        <v>306.03730409248647</v>
      </c>
    </row>
    <row r="62" spans="3:9" x14ac:dyDescent="0.3">
      <c r="C62">
        <v>170</v>
      </c>
      <c r="D62">
        <v>65</v>
      </c>
      <c r="E62" cm="1">
        <f t="array" ref="E62">Resistance2PowerLegacy($D$48,$C62, E$49)</f>
        <v>66.534742730286496</v>
      </c>
      <c r="F62">
        <v>190</v>
      </c>
      <c r="G62" cm="1">
        <f t="array" ref="G62">Resistance2PowerLegacy($D$48,$C62, G$49)</f>
        <v>167.55262126304211</v>
      </c>
      <c r="H62">
        <v>310</v>
      </c>
      <c r="I62" cm="1">
        <f t="array" ref="I62">Resistance2PowerLegacy($D$48,$C62, I$49)</f>
        <v>321.03963559826684</v>
      </c>
    </row>
    <row r="63" spans="3:9" x14ac:dyDescent="0.3">
      <c r="C63">
        <v>180</v>
      </c>
      <c r="D63">
        <v>68</v>
      </c>
      <c r="E63" cm="1">
        <f t="array" ref="E63">Resistance2PowerLegacy($D$48,$C63, E$49)</f>
        <v>69.15443347912688</v>
      </c>
      <c r="F63">
        <v>198</v>
      </c>
      <c r="G63" cm="1">
        <f t="array" ref="G63">Resistance2PowerLegacy($D$48,$C63, G$49)</f>
        <v>174.82042251380932</v>
      </c>
      <c r="H63">
        <v>332</v>
      </c>
      <c r="I63" cm="1">
        <f t="array" ref="I63">Resistance2PowerLegacy($D$48,$C63, I$49)</f>
        <v>336.04196710404727</v>
      </c>
    </row>
    <row r="64" spans="3:9" x14ac:dyDescent="0.3">
      <c r="C64">
        <v>190</v>
      </c>
      <c r="D64">
        <v>70</v>
      </c>
      <c r="E64" cm="1">
        <f t="array" ref="E64">Resistance2PowerLegacy($D$48,$C64, E$49)</f>
        <v>71.774124227967263</v>
      </c>
      <c r="F64">
        <v>207</v>
      </c>
      <c r="G64" cm="1">
        <f t="array" ref="G64">Resistance2PowerLegacy($D$48,$C64, G$49)</f>
        <v>182.0882237645765</v>
      </c>
      <c r="H64">
        <v>340</v>
      </c>
      <c r="I64" cm="1">
        <f t="array" ref="I64">Resistance2PowerLegacy($D$48,$C64, I$49)</f>
        <v>351.04429860982771</v>
      </c>
    </row>
    <row r="65" spans="3:9" x14ac:dyDescent="0.3">
      <c r="C65">
        <v>200</v>
      </c>
      <c r="D65">
        <v>72</v>
      </c>
      <c r="E65" cm="1">
        <f t="array" ref="E65">Resistance2PowerLegacy($D$48,$C65, E$49)</f>
        <v>74.393814976807647</v>
      </c>
      <c r="F65">
        <v>207</v>
      </c>
      <c r="G65" cm="1">
        <f t="array" ref="G65">Resistance2PowerLegacy($D$48,$C65, G$49)</f>
        <v>189.35602501534368</v>
      </c>
      <c r="H65">
        <v>365</v>
      </c>
      <c r="I65" cm="1">
        <f t="array" ref="I65">Resistance2PowerLegacy($D$48,$C65, I$49)</f>
        <v>366.04663011560808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6FA6-D1E3-4454-A83C-09392C4030AF}">
  <sheetPr codeName="Sheet6"/>
  <dimension ref="A2:R101"/>
  <sheetViews>
    <sheetView tabSelected="1" workbookViewId="0">
      <pane ySplit="3" topLeftCell="A22" activePane="bottomLeft" state="frozen"/>
      <selection pane="bottomLeft" activeCell="A28" sqref="A28"/>
    </sheetView>
  </sheetViews>
  <sheetFormatPr defaultRowHeight="14.4" x14ac:dyDescent="0.3"/>
  <cols>
    <col min="1" max="1" width="30" bestFit="1" customWidth="1"/>
    <col min="2" max="2" width="19" bestFit="1" customWidth="1"/>
    <col min="3" max="3" width="19" hidden="1" customWidth="1"/>
    <col min="4" max="4" width="9" bestFit="1" customWidth="1"/>
    <col min="5" max="13" width="9.33203125" bestFit="1" customWidth="1"/>
  </cols>
  <sheetData>
    <row r="2" spans="1:18" ht="15" thickBot="1" x14ac:dyDescent="0.35">
      <c r="D2">
        <v>0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</row>
    <row r="3" spans="1:18" ht="15" thickBot="1" x14ac:dyDescent="0.35">
      <c r="A3" s="99" t="s">
        <v>128</v>
      </c>
      <c r="B3" s="99" t="s">
        <v>129</v>
      </c>
      <c r="C3" s="99"/>
      <c r="D3" s="100">
        <v>1039</v>
      </c>
      <c r="E3" s="101">
        <v>1299</v>
      </c>
      <c r="F3" s="101">
        <v>1559</v>
      </c>
      <c r="G3" s="101">
        <v>1819</v>
      </c>
      <c r="H3" s="101">
        <v>2078</v>
      </c>
      <c r="I3" s="101">
        <v>2338</v>
      </c>
      <c r="J3" s="101">
        <v>2598</v>
      </c>
      <c r="K3" s="101">
        <v>2858</v>
      </c>
      <c r="L3" s="101">
        <v>3118</v>
      </c>
      <c r="M3" s="101">
        <v>3378</v>
      </c>
      <c r="N3" s="101">
        <v>3767</v>
      </c>
      <c r="O3" s="101">
        <v>4027</v>
      </c>
      <c r="P3" s="101">
        <v>4287</v>
      </c>
      <c r="Q3" s="101">
        <v>4677</v>
      </c>
    </row>
    <row r="4" spans="1:18" ht="15" thickBot="1" x14ac:dyDescent="0.35">
      <c r="A4" s="99" t="s">
        <v>130</v>
      </c>
      <c r="B4" s="99" t="s">
        <v>131</v>
      </c>
      <c r="C4" s="99"/>
      <c r="D4" s="102">
        <v>1900</v>
      </c>
      <c r="E4" s="103">
        <v>2030</v>
      </c>
      <c r="F4" s="103">
        <v>2150</v>
      </c>
      <c r="G4" s="103">
        <v>2300</v>
      </c>
      <c r="H4" s="103">
        <v>2400</v>
      </c>
      <c r="I4" s="103">
        <v>2550</v>
      </c>
      <c r="J4" s="103">
        <v>2700</v>
      </c>
      <c r="K4" s="103">
        <v>2900</v>
      </c>
      <c r="L4" s="103">
        <v>3070</v>
      </c>
      <c r="M4" s="103">
        <v>3200</v>
      </c>
      <c r="N4" s="103">
        <v>3350</v>
      </c>
      <c r="O4" s="103">
        <v>3460</v>
      </c>
      <c r="P4" s="103">
        <v>3600</v>
      </c>
      <c r="Q4" s="103">
        <v>3750</v>
      </c>
    </row>
    <row r="5" spans="1:18" ht="15" hidden="1" thickBot="1" x14ac:dyDescent="0.35">
      <c r="A5" s="99" t="s">
        <v>132</v>
      </c>
      <c r="B5" s="99" t="s">
        <v>133</v>
      </c>
      <c r="C5" s="99"/>
      <c r="D5" s="102">
        <v>5.3064999999999998</v>
      </c>
      <c r="E5" s="103">
        <v>5.6007999999999996</v>
      </c>
      <c r="F5" s="103">
        <v>5.9874000000000001</v>
      </c>
      <c r="G5" s="103">
        <v>6.6848000000000001</v>
      </c>
      <c r="H5" s="103">
        <v>7.5042999999999997</v>
      </c>
      <c r="I5" s="103">
        <v>8.4499999999999993</v>
      </c>
      <c r="J5" s="103">
        <v>9.3905999999999992</v>
      </c>
      <c r="K5" s="103">
        <v>10.46</v>
      </c>
      <c r="L5" s="103">
        <v>11.750999999999999</v>
      </c>
      <c r="M5" s="103">
        <v>13.015000000000001</v>
      </c>
      <c r="N5" s="103">
        <v>14.2</v>
      </c>
      <c r="O5" s="103">
        <v>15.3</v>
      </c>
      <c r="P5" s="103">
        <v>16.55</v>
      </c>
      <c r="Q5" s="103">
        <v>17.763000000000002</v>
      </c>
    </row>
    <row r="6" spans="1:18" ht="15" hidden="1" thickBot="1" x14ac:dyDescent="0.35">
      <c r="A6" s="99" t="s">
        <v>134</v>
      </c>
      <c r="B6" s="99" t="s">
        <v>135</v>
      </c>
      <c r="C6" s="99"/>
      <c r="D6" s="102">
        <v>-29.347999999999999</v>
      </c>
      <c r="E6" s="103">
        <v>-33.1</v>
      </c>
      <c r="F6" s="103">
        <v>-37</v>
      </c>
      <c r="G6" s="103">
        <v>-43.813000000000002</v>
      </c>
      <c r="H6" s="103">
        <v>-51.6</v>
      </c>
      <c r="I6" s="103">
        <v>-59.1</v>
      </c>
      <c r="J6" s="103">
        <v>-65.5</v>
      </c>
      <c r="K6" s="103">
        <v>-73.099999999999994</v>
      </c>
      <c r="L6" s="103">
        <v>-80.099999999999994</v>
      </c>
      <c r="M6" s="103">
        <v>-86.507999999999996</v>
      </c>
      <c r="N6" s="103">
        <v>-94.3</v>
      </c>
      <c r="O6" s="103">
        <v>-102.49</v>
      </c>
      <c r="P6" s="103">
        <v>-112</v>
      </c>
      <c r="Q6" s="103">
        <v>-124.1</v>
      </c>
    </row>
    <row r="7" spans="1:18" ht="15" thickBot="1" x14ac:dyDescent="0.35">
      <c r="A7" s="99" t="s">
        <v>136</v>
      </c>
      <c r="B7" s="99" t="s">
        <v>136</v>
      </c>
      <c r="C7" s="99"/>
      <c r="D7" s="102">
        <v>-4.3</v>
      </c>
      <c r="E7" s="103">
        <v>-3.4</v>
      </c>
      <c r="F7" s="103">
        <v>-2.5</v>
      </c>
      <c r="G7" s="103">
        <v>-1.6</v>
      </c>
      <c r="H7" s="103">
        <v>-0.7</v>
      </c>
      <c r="I7" s="103">
        <v>0.5</v>
      </c>
      <c r="J7" s="103">
        <v>1.4</v>
      </c>
      <c r="K7" s="103">
        <v>2.9</v>
      </c>
      <c r="L7" s="103">
        <v>4</v>
      </c>
      <c r="M7" s="103">
        <v>5.6</v>
      </c>
      <c r="N7" s="103">
        <v>7.4</v>
      </c>
      <c r="O7" s="103">
        <v>8.6</v>
      </c>
      <c r="P7" s="103">
        <v>9.8000000000000007</v>
      </c>
      <c r="Q7" s="103">
        <v>11</v>
      </c>
    </row>
    <row r="8" spans="1:18" x14ac:dyDescent="0.3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</row>
    <row r="9" spans="1:18" x14ac:dyDescent="0.3">
      <c r="A9" s="99" t="s">
        <v>137</v>
      </c>
      <c r="B9" s="104">
        <v>10</v>
      </c>
      <c r="C9" s="104"/>
      <c r="D9" s="105">
        <f t="shared" ref="D9:Q13" si="0">$B9*D$5+D$6</f>
        <v>23.716999999999999</v>
      </c>
      <c r="E9" s="105">
        <f t="shared" si="0"/>
        <v>22.907999999999994</v>
      </c>
      <c r="F9" s="105">
        <f t="shared" si="0"/>
        <v>22.874000000000002</v>
      </c>
      <c r="G9" s="105">
        <f t="shared" si="0"/>
        <v>23.034999999999997</v>
      </c>
      <c r="H9" s="105">
        <f t="shared" si="0"/>
        <v>23.442999999999991</v>
      </c>
      <c r="I9" s="105">
        <f t="shared" si="0"/>
        <v>25.4</v>
      </c>
      <c r="J9" s="105">
        <f t="shared" si="0"/>
        <v>28.405999999999992</v>
      </c>
      <c r="K9" s="105">
        <f t="shared" si="0"/>
        <v>31.500000000000014</v>
      </c>
      <c r="L9" s="105">
        <f t="shared" si="0"/>
        <v>37.409999999999997</v>
      </c>
      <c r="M9" s="105">
        <f t="shared" si="0"/>
        <v>43.64200000000001</v>
      </c>
      <c r="N9" s="105">
        <f t="shared" si="0"/>
        <v>47.7</v>
      </c>
      <c r="O9" s="105">
        <f t="shared" si="0"/>
        <v>50.510000000000005</v>
      </c>
      <c r="P9" s="105">
        <f t="shared" si="0"/>
        <v>53.5</v>
      </c>
      <c r="Q9" s="105">
        <f t="shared" si="0"/>
        <v>53.53000000000003</v>
      </c>
    </row>
    <row r="10" spans="1:18" x14ac:dyDescent="0.3">
      <c r="A10" s="99"/>
      <c r="B10" s="104">
        <v>20</v>
      </c>
      <c r="C10" s="104"/>
      <c r="D10" s="105">
        <f t="shared" si="0"/>
        <v>76.781999999999996</v>
      </c>
      <c r="E10" s="105">
        <f t="shared" si="0"/>
        <v>78.915999999999997</v>
      </c>
      <c r="F10" s="105">
        <f t="shared" si="0"/>
        <v>82.748000000000005</v>
      </c>
      <c r="G10" s="105">
        <f t="shared" si="0"/>
        <v>89.882999999999996</v>
      </c>
      <c r="H10" s="105">
        <f t="shared" si="0"/>
        <v>98.48599999999999</v>
      </c>
      <c r="I10" s="105">
        <f t="shared" si="0"/>
        <v>109.9</v>
      </c>
      <c r="J10" s="105">
        <f t="shared" si="0"/>
        <v>122.31199999999998</v>
      </c>
      <c r="K10" s="105">
        <f t="shared" si="0"/>
        <v>136.10000000000002</v>
      </c>
      <c r="L10" s="105">
        <f t="shared" si="0"/>
        <v>154.91999999999999</v>
      </c>
      <c r="M10" s="105">
        <f t="shared" si="0"/>
        <v>173.79200000000003</v>
      </c>
      <c r="N10" s="105">
        <f t="shared" si="0"/>
        <v>189.7</v>
      </c>
      <c r="O10" s="105">
        <f t="shared" si="0"/>
        <v>203.51</v>
      </c>
      <c r="P10" s="105">
        <f t="shared" si="0"/>
        <v>219</v>
      </c>
      <c r="Q10" s="105">
        <f t="shared" si="0"/>
        <v>231.16000000000005</v>
      </c>
    </row>
    <row r="11" spans="1:18" x14ac:dyDescent="0.3">
      <c r="A11" s="99"/>
      <c r="B11" s="104">
        <v>30</v>
      </c>
      <c r="C11" s="104"/>
      <c r="D11" s="105">
        <f t="shared" si="0"/>
        <v>129.84699999999998</v>
      </c>
      <c r="E11" s="105">
        <f t="shared" si="0"/>
        <v>134.92400000000001</v>
      </c>
      <c r="F11" s="105">
        <f t="shared" si="0"/>
        <v>142.62200000000001</v>
      </c>
      <c r="G11" s="105">
        <f t="shared" si="0"/>
        <v>156.73099999999999</v>
      </c>
      <c r="H11" s="105">
        <f t="shared" si="0"/>
        <v>173.529</v>
      </c>
      <c r="I11" s="105">
        <f t="shared" si="0"/>
        <v>194.39999999999998</v>
      </c>
      <c r="J11" s="105">
        <f t="shared" si="0"/>
        <v>216.21799999999996</v>
      </c>
      <c r="K11" s="105">
        <f t="shared" si="0"/>
        <v>240.70000000000002</v>
      </c>
      <c r="L11" s="105">
        <f t="shared" si="0"/>
        <v>272.42999999999995</v>
      </c>
      <c r="M11" s="105">
        <f t="shared" si="0"/>
        <v>303.94200000000006</v>
      </c>
      <c r="N11" s="105">
        <f t="shared" si="0"/>
        <v>331.7</v>
      </c>
      <c r="O11" s="105">
        <f t="shared" si="0"/>
        <v>356.51</v>
      </c>
      <c r="P11" s="105">
        <f t="shared" si="0"/>
        <v>384.5</v>
      </c>
      <c r="Q11" s="105">
        <f t="shared" si="0"/>
        <v>408.79000000000008</v>
      </c>
    </row>
    <row r="12" spans="1:18" x14ac:dyDescent="0.3">
      <c r="A12" s="99"/>
      <c r="B12" s="104">
        <v>40</v>
      </c>
      <c r="C12" s="104"/>
      <c r="D12" s="105">
        <f t="shared" si="0"/>
        <v>182.91199999999998</v>
      </c>
      <c r="E12" s="105">
        <f t="shared" si="0"/>
        <v>190.93199999999999</v>
      </c>
      <c r="F12" s="105">
        <f t="shared" si="0"/>
        <v>202.49600000000001</v>
      </c>
      <c r="G12" s="105">
        <f t="shared" si="0"/>
        <v>223.57900000000001</v>
      </c>
      <c r="H12" s="105">
        <f t="shared" si="0"/>
        <v>248.57199999999997</v>
      </c>
      <c r="I12" s="105">
        <f t="shared" si="0"/>
        <v>278.89999999999998</v>
      </c>
      <c r="J12" s="105">
        <f t="shared" si="0"/>
        <v>310.12399999999997</v>
      </c>
      <c r="K12" s="105">
        <f t="shared" si="0"/>
        <v>345.30000000000007</v>
      </c>
      <c r="L12" s="105">
        <f t="shared" si="0"/>
        <v>389.93999999999994</v>
      </c>
      <c r="M12" s="105">
        <f t="shared" si="0"/>
        <v>434.09200000000004</v>
      </c>
      <c r="N12" s="105">
        <f t="shared" si="0"/>
        <v>473.7</v>
      </c>
      <c r="O12" s="105">
        <f t="shared" si="0"/>
        <v>509.51</v>
      </c>
      <c r="P12" s="105">
        <f t="shared" si="0"/>
        <v>550</v>
      </c>
      <c r="Q12" s="105">
        <f t="shared" si="0"/>
        <v>586.42000000000007</v>
      </c>
    </row>
    <row r="13" spans="1:18" x14ac:dyDescent="0.3">
      <c r="A13" s="99"/>
      <c r="B13" s="104">
        <v>50</v>
      </c>
      <c r="C13" s="104"/>
      <c r="D13" s="105">
        <f t="shared" si="0"/>
        <v>235.97699999999998</v>
      </c>
      <c r="E13" s="105">
        <f t="shared" si="0"/>
        <v>246.93999999999997</v>
      </c>
      <c r="F13" s="105">
        <f t="shared" si="0"/>
        <v>262.37</v>
      </c>
      <c r="G13" s="105">
        <f t="shared" si="0"/>
        <v>290.42700000000002</v>
      </c>
      <c r="H13" s="105">
        <f t="shared" si="0"/>
        <v>323.61499999999995</v>
      </c>
      <c r="I13" s="105">
        <f t="shared" si="0"/>
        <v>363.39999999999992</v>
      </c>
      <c r="J13" s="105">
        <f t="shared" si="0"/>
        <v>404.03</v>
      </c>
      <c r="K13" s="105">
        <f t="shared" si="0"/>
        <v>449.9</v>
      </c>
      <c r="L13" s="105">
        <f t="shared" si="0"/>
        <v>507.44999999999993</v>
      </c>
      <c r="M13" s="105">
        <f t="shared" si="0"/>
        <v>564.24199999999996</v>
      </c>
      <c r="N13" s="105">
        <f t="shared" si="0"/>
        <v>615.70000000000005</v>
      </c>
      <c r="O13" s="105">
        <f t="shared" si="0"/>
        <v>662.51</v>
      </c>
      <c r="P13" s="105">
        <f t="shared" si="0"/>
        <v>715.5</v>
      </c>
      <c r="Q13" s="105">
        <f t="shared" si="0"/>
        <v>764.05000000000007</v>
      </c>
    </row>
    <row r="14" spans="1:18" x14ac:dyDescent="0.3">
      <c r="A14" s="99"/>
      <c r="B14" s="106"/>
      <c r="C14" s="106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92"/>
    </row>
    <row r="15" spans="1:18" x14ac:dyDescent="0.3">
      <c r="A15" s="99" t="s">
        <v>138</v>
      </c>
      <c r="B15" s="108">
        <v>0</v>
      </c>
      <c r="C15" s="108"/>
      <c r="D15" s="109" cm="1">
        <f t="array" ref="D15">Resistance2PowerMB(D$3,$B15)</f>
        <v>0</v>
      </c>
      <c r="E15" s="109" cm="1">
        <f t="array" ref="E15">Resistance2PowerMB(E$3,$B15)</f>
        <v>0</v>
      </c>
      <c r="F15" s="109" cm="1">
        <f t="array" ref="F15">Resistance2PowerMB(F$3,$B15)</f>
        <v>0</v>
      </c>
      <c r="G15" s="109" cm="1">
        <f t="array" ref="G15">Resistance2PowerMB(G$3,$B15)</f>
        <v>0</v>
      </c>
      <c r="H15" s="109" cm="1">
        <f t="array" ref="H15">Resistance2PowerMB(H$3,$B15)</f>
        <v>0</v>
      </c>
      <c r="I15" s="109" cm="1">
        <f t="array" ref="I15">Resistance2PowerMB(I$3,$B15)</f>
        <v>0</v>
      </c>
      <c r="J15" s="109" cm="1">
        <f t="array" ref="J15">Resistance2PowerMB(J$3,$B15)</f>
        <v>0</v>
      </c>
      <c r="K15" s="109" cm="1">
        <f t="array" ref="K15">Resistance2PowerMB(K$3,$B15)</f>
        <v>0</v>
      </c>
      <c r="L15" s="109" cm="1">
        <f t="array" ref="L15">Resistance2PowerMB(L$3,$B15)</f>
        <v>0</v>
      </c>
      <c r="M15" s="109" cm="1">
        <f t="array" ref="M15">Resistance2PowerMB(M$3,$B15)</f>
        <v>0</v>
      </c>
      <c r="N15" s="109" cm="1">
        <f t="array" ref="N15">Resistance2PowerMB(N$3,$B15)</f>
        <v>0</v>
      </c>
      <c r="O15" s="109" cm="1">
        <f t="array" ref="O15">Resistance2PowerMB(O$3,$B15)</f>
        <v>0</v>
      </c>
      <c r="P15" s="109" cm="1">
        <f t="array" ref="P15">Resistance2PowerMB(P$3,$B15)</f>
        <v>0</v>
      </c>
      <c r="Q15" s="109" cm="1">
        <f t="array" ref="Q15">Resistance2PowerMB(Q$3,$B15)</f>
        <v>0</v>
      </c>
      <c r="R15" s="92"/>
    </row>
    <row r="16" spans="1:18" x14ac:dyDescent="0.3">
      <c r="A16" s="99"/>
      <c r="B16" s="108">
        <v>5</v>
      </c>
      <c r="C16" s="108"/>
      <c r="D16" s="109" cm="1">
        <f t="array" ref="D16">Resistance2PowerMB(D$3,$B16)</f>
        <v>25.133654766998795</v>
      </c>
      <c r="E16" s="109" cm="1">
        <f t="array" ref="E16">Resistance2PowerMB(E$3,$B16)</f>
        <v>26.20976985145791</v>
      </c>
      <c r="F16" s="109" cm="1">
        <f t="array" ref="F16">Resistance2PowerMB(F$3,$B16)</f>
        <v>27.285884935917025</v>
      </c>
      <c r="G16" s="109" cm="1">
        <f t="array" ref="G16">Resistance2PowerMB(G$3,$B16)</f>
        <v>28.362000020376144</v>
      </c>
      <c r="H16" s="109" cm="1">
        <f t="array" ref="H16">Resistance2PowerMB(H$3,$B16)</f>
        <v>29.433976200664262</v>
      </c>
      <c r="I16" s="109" cm="1">
        <f t="array" ref="I16">Resistance2PowerMB(I$3,$B16)</f>
        <v>30.510091285123377</v>
      </c>
      <c r="J16" s="109" cm="1">
        <f t="array" ref="J16">Resistance2PowerMB(J$3,$B16)</f>
        <v>31.586206369582488</v>
      </c>
      <c r="K16" s="109" cm="1">
        <f t="array" ref="K16">Resistance2PowerMB(K$3,$B16)</f>
        <v>32.662321454041603</v>
      </c>
      <c r="L16" s="109" cm="1">
        <f t="array" ref="L16">Resistance2PowerMB(L$3,$B16)</f>
        <v>33.738436538500721</v>
      </c>
      <c r="M16" s="109" cm="1">
        <f t="array" ref="M16">Resistance2PowerMB(M$3,$B16)</f>
        <v>34.81455162295984</v>
      </c>
      <c r="N16" s="109" cm="1">
        <f t="array" ref="N16">Resistance2PowerMB(N$3,$B16)</f>
        <v>36.42458534547751</v>
      </c>
      <c r="O16" s="109" cm="1">
        <f t="array" ref="O16">Resistance2PowerMB(O$3,$B16)</f>
        <v>37.500700429936629</v>
      </c>
      <c r="P16" s="109" cm="1">
        <f t="array" ref="P16">Resistance2PowerMB(P$3,$B16)</f>
        <v>38.57681551439574</v>
      </c>
      <c r="Q16" s="109" cm="1">
        <f t="array" ref="Q16">Resistance2PowerMB(Q$3,$B16)</f>
        <v>40.190988141084418</v>
      </c>
      <c r="R16" s="92"/>
    </row>
    <row r="17" spans="1:18" x14ac:dyDescent="0.3">
      <c r="A17" s="99" t="s">
        <v>138</v>
      </c>
      <c r="B17" s="110">
        <v>10</v>
      </c>
      <c r="C17" s="110"/>
      <c r="D17" s="109" cm="1">
        <f t="array" ref="D17">Resistance2PowerMB(D$3,$B17)</f>
        <v>55.660193611484083</v>
      </c>
      <c r="E17" s="109" cm="1">
        <f t="array" ref="E17">Resistance2PowerMB(E$3,$B17)</f>
        <v>59.16194241384455</v>
      </c>
      <c r="F17" s="109" cm="1">
        <f t="array" ref="F17">Resistance2PowerMB(F$3,$B17)</f>
        <v>62.663691216205009</v>
      </c>
      <c r="G17" s="109" cm="1">
        <f t="array" ref="G17">Resistance2PowerMB(G$3,$B17)</f>
        <v>66.165440018565477</v>
      </c>
      <c r="H17" s="109" cm="1">
        <f t="array" ref="H17">Resistance2PowerMB(H$3,$B17)</f>
        <v>69.653720556301494</v>
      </c>
      <c r="I17" s="109" cm="1">
        <f t="array" ref="I17">Resistance2PowerMB(I$3,$B17)</f>
        <v>73.155469358661961</v>
      </c>
      <c r="J17" s="109" cm="1">
        <f t="array" ref="J17">Resistance2PowerMB(J$3,$B17)</f>
        <v>76.657218161022428</v>
      </c>
      <c r="K17" s="109" cm="1">
        <f t="array" ref="K17">Resistance2PowerMB(K$3,$B17)</f>
        <v>80.158966963382895</v>
      </c>
      <c r="L17" s="109" cm="1">
        <f t="array" ref="L17">Resistance2PowerMB(L$3,$B17)</f>
        <v>83.660715765743348</v>
      </c>
      <c r="M17" s="109" cm="1">
        <f t="array" ref="M17">Resistance2PowerMB(M$3,$B17)</f>
        <v>87.162464568103829</v>
      </c>
      <c r="N17" s="109" cm="1">
        <f t="array" ref="N17">Resistance2PowerMB(N$3,$B17)</f>
        <v>92.401619507020072</v>
      </c>
      <c r="O17" s="109" cm="1">
        <f t="array" ref="O17">Resistance2PowerMB(O$3,$B17)</f>
        <v>95.903368309380525</v>
      </c>
      <c r="P17" s="109" cm="1">
        <f t="array" ref="P17">Resistance2PowerMB(P$3,$B17)</f>
        <v>99.405117111741006</v>
      </c>
      <c r="Q17" s="109" cm="1">
        <f t="array" ref="Q17">Resistance2PowerMB(Q$3,$B17)</f>
        <v>104.6577403152817</v>
      </c>
      <c r="R17" s="92"/>
    </row>
    <row r="18" spans="1:18" x14ac:dyDescent="0.3">
      <c r="A18" s="99"/>
      <c r="B18" s="110">
        <v>15</v>
      </c>
      <c r="C18" s="110"/>
      <c r="D18" s="109" cm="1">
        <f t="array" ref="D18">Resistance2PowerMB(D$3,$B18)</f>
        <v>89.036762856783611</v>
      </c>
      <c r="E18" s="109" cm="1">
        <f t="array" ref="E18">Resistance2PowerMB(E$3,$B18)</f>
        <v>95.677338740098094</v>
      </c>
      <c r="F18" s="109" cm="1">
        <f t="array" ref="F18">Resistance2PowerMB(F$3,$B18)</f>
        <v>102.31791462341256</v>
      </c>
      <c r="G18" s="109" cm="1">
        <f t="array" ref="G18">Resistance2PowerMB(G$3,$B18)</f>
        <v>108.95849050672705</v>
      </c>
      <c r="H18" s="109" cm="1">
        <f t="array" ref="H18">Resistance2PowerMB(H$3,$B18)</f>
        <v>115.57352571356722</v>
      </c>
      <c r="I18" s="109" cm="1">
        <f t="array" ref="I18">Resistance2PowerMB(I$3,$B18)</f>
        <v>122.21410159688169</v>
      </c>
      <c r="J18" s="109" cm="1">
        <f t="array" ref="J18">Resistance2PowerMB(J$3,$B18)</f>
        <v>128.85467748019619</v>
      </c>
      <c r="K18" s="109" cm="1">
        <f t="array" ref="K18">Resistance2PowerMB(K$3,$B18)</f>
        <v>135.49525336351061</v>
      </c>
      <c r="L18" s="109" cm="1">
        <f t="array" ref="L18">Resistance2PowerMB(L$3,$B18)</f>
        <v>142.13582924682512</v>
      </c>
      <c r="M18" s="109" cm="1">
        <f t="array" ref="M18">Resistance2PowerMB(M$3,$B18)</f>
        <v>148.77640513013961</v>
      </c>
      <c r="N18" s="109" cm="1">
        <f t="array" ref="N18">Resistance2PowerMB(N$3,$B18)</f>
        <v>158.71172827863703</v>
      </c>
      <c r="O18" s="109" cm="1">
        <f t="array" ref="O18">Resistance2PowerMB(O$3,$B18)</f>
        <v>165.35230416195148</v>
      </c>
      <c r="P18" s="109" cm="1">
        <f t="array" ref="P18">Resistance2PowerMB(P$3,$B18)</f>
        <v>171.99288004526596</v>
      </c>
      <c r="Q18" s="109" cm="1">
        <f t="array" ref="Q18">Resistance2PowerMB(Q$3,$B18)</f>
        <v>181.9537438702377</v>
      </c>
      <c r="R18" s="92"/>
    </row>
    <row r="19" spans="1:18" x14ac:dyDescent="0.3">
      <c r="A19" s="99"/>
      <c r="B19" s="110">
        <v>20</v>
      </c>
      <c r="C19" s="110"/>
      <c r="D19" s="109" cm="1">
        <f t="array" ref="D19">Resistance2PowerMB(D$3,$B19)</f>
        <v>124.10204401946226</v>
      </c>
      <c r="E19" s="109" cm="1">
        <f t="array" ref="E19">Resistance2PowerMB(E$3,$B19)</f>
        <v>134.30403129414321</v>
      </c>
      <c r="F19" s="109" cm="1">
        <f t="array" ref="F19">Resistance2PowerMB(F$3,$B19)</f>
        <v>144.50601856882417</v>
      </c>
      <c r="G19" s="109" cm="1">
        <f t="array" ref="G19">Resistance2PowerMB(G$3,$B19)</f>
        <v>154.70800584350513</v>
      </c>
      <c r="H19" s="109" cm="1">
        <f t="array" ref="H19">Resistance2PowerMB(H$3,$B19)</f>
        <v>164.87075470559117</v>
      </c>
      <c r="I19" s="109" cm="1">
        <f t="array" ref="I19">Resistance2PowerMB(I$3,$B19)</f>
        <v>175.07274198027213</v>
      </c>
      <c r="J19" s="109" cm="1">
        <f t="array" ref="J19">Resistance2PowerMB(J$3,$B19)</f>
        <v>185.27472925495312</v>
      </c>
      <c r="K19" s="109" cm="1">
        <f t="array" ref="K19">Resistance2PowerMB(K$3,$B19)</f>
        <v>195.47671652963402</v>
      </c>
      <c r="L19" s="109" cm="1">
        <f t="array" ref="L19">Resistance2PowerMB(L$3,$B19)</f>
        <v>205.67870380431503</v>
      </c>
      <c r="M19" s="109" cm="1">
        <f t="array" ref="M19">Resistance2PowerMB(M$3,$B19)</f>
        <v>215.88069107899597</v>
      </c>
      <c r="N19" s="109" cm="1">
        <f t="array" ref="N19">Resistance2PowerMB(N$3,$B19)</f>
        <v>231.14443357842248</v>
      </c>
      <c r="O19" s="109" cm="1">
        <f t="array" ref="O19">Resistance2PowerMB(O$3,$B19)</f>
        <v>241.34642085310341</v>
      </c>
      <c r="P19" s="109" cm="1">
        <f t="array" ref="P19">Resistance2PowerMB(P$3,$B19)</f>
        <v>251.54840812778443</v>
      </c>
      <c r="Q19" s="109" cm="1">
        <f t="array" ref="Q19">Resistance2PowerMB(Q$3,$B19)</f>
        <v>266.85138903980584</v>
      </c>
      <c r="R19" s="92"/>
    </row>
    <row r="20" spans="1:18" x14ac:dyDescent="0.3">
      <c r="A20" s="99"/>
      <c r="B20" s="110">
        <v>25</v>
      </c>
      <c r="C20" s="110"/>
      <c r="D20" s="109" cm="1">
        <f t="array" ref="D20">Resistance2PowerMB(D$3,$B20)</f>
        <v>160.25021392051192</v>
      </c>
      <c r="E20" s="109" cm="1">
        <f t="array" ref="E20">Resistance2PowerMB(E$3,$B20)</f>
        <v>174.28459533148379</v>
      </c>
      <c r="F20" s="109" cm="1">
        <f t="array" ref="F20">Resistance2PowerMB(F$3,$B20)</f>
        <v>188.31897674245565</v>
      </c>
      <c r="G20" s="109" cm="1">
        <f t="array" ref="G20">Resistance2PowerMB(G$3,$B20)</f>
        <v>202.35335815342751</v>
      </c>
      <c r="H20" s="109" cm="1">
        <f t="array" ref="H20">Resistance2PowerMB(H$3,$B20)</f>
        <v>216.33376117435719</v>
      </c>
      <c r="I20" s="109" cm="1">
        <f t="array" ref="I20">Resistance2PowerMB(I$3,$B20)</f>
        <v>230.36814258532902</v>
      </c>
      <c r="J20" s="109" cm="1">
        <f t="array" ref="J20">Resistance2PowerMB(J$3,$B20)</f>
        <v>244.40252399630089</v>
      </c>
      <c r="K20" s="109" cm="1">
        <f t="array" ref="K20">Resistance2PowerMB(K$3,$B20)</f>
        <v>258.43690540727277</v>
      </c>
      <c r="L20" s="109" cm="1">
        <f t="array" ref="L20">Resistance2PowerMB(L$3,$B20)</f>
        <v>272.47128681824461</v>
      </c>
      <c r="M20" s="109" cm="1">
        <f t="array" ref="M20">Resistance2PowerMB(M$3,$B20)</f>
        <v>286.5056682292165</v>
      </c>
      <c r="N20" s="109" cm="1">
        <f t="array" ref="N20">Resistance2PowerMB(N$3,$B20)</f>
        <v>307.50326195563207</v>
      </c>
      <c r="O20" s="109" cm="1">
        <f t="array" ref="O20">Resistance2PowerMB(O$3,$B20)</f>
        <v>321.53764336660402</v>
      </c>
      <c r="P20" s="109" cm="1">
        <f t="array" ref="P20">Resistance2PowerMB(P$3,$B20)</f>
        <v>335.57202477757585</v>
      </c>
      <c r="Q20" s="109" cm="1">
        <f t="array" ref="Q20">Resistance2PowerMB(Q$3,$B20)</f>
        <v>356.6235968940336</v>
      </c>
      <c r="R20" s="92"/>
    </row>
    <row r="21" spans="1:18" x14ac:dyDescent="0.3">
      <c r="A21" s="99"/>
      <c r="B21" s="110">
        <v>30</v>
      </c>
      <c r="C21" s="110"/>
      <c r="D21" s="109" cm="1">
        <f t="array" ref="D21">Resistance2PowerMB(D$3,$B21)</f>
        <v>197.13428180808339</v>
      </c>
      <c r="E21" s="109" cm="1">
        <f t="array" ref="E21">Resistance2PowerMB(E$3,$B21)</f>
        <v>215.18520892078956</v>
      </c>
      <c r="F21" s="109" cm="1">
        <f t="array" ref="F21">Resistance2PowerMB(F$3,$B21)</f>
        <v>233.23613603349574</v>
      </c>
      <c r="G21" s="109" cm="1">
        <f t="array" ref="G21">Resistance2PowerMB(G$3,$B21)</f>
        <v>251.28706314620183</v>
      </c>
      <c r="H21" s="109" cm="1">
        <f t="array" ref="H21">Resistance2PowerMB(H$3,$B21)</f>
        <v>269.26856361616677</v>
      </c>
      <c r="I21" s="109" cm="1">
        <f t="array" ref="I21">Resistance2PowerMB(I$3,$B21)</f>
        <v>287.31949072887295</v>
      </c>
      <c r="J21" s="109" cm="1">
        <f t="array" ref="J21">Resistance2PowerMB(J$3,$B21)</f>
        <v>305.37041784157913</v>
      </c>
      <c r="K21" s="109" cm="1">
        <f t="array" ref="K21">Resistance2PowerMB(K$3,$B21)</f>
        <v>323.42134495428525</v>
      </c>
      <c r="L21" s="109" cm="1">
        <f t="array" ref="L21">Resistance2PowerMB(L$3,$B21)</f>
        <v>341.47227206699142</v>
      </c>
      <c r="M21" s="109" cm="1">
        <f t="array" ref="M21">Resistance2PowerMB(M$3,$B21)</f>
        <v>359.52319917969754</v>
      </c>
      <c r="N21" s="109" cm="1">
        <f t="array" ref="N21">Resistance2PowerMB(N$3,$B21)</f>
        <v>386.53016320601557</v>
      </c>
      <c r="O21" s="109" cm="1">
        <f t="array" ref="O21">Resistance2PowerMB(O$3,$B21)</f>
        <v>404.58109031872175</v>
      </c>
      <c r="P21" s="109" cm="1">
        <f t="array" ref="P21">Resistance2PowerMB(P$3,$B21)</f>
        <v>422.63201743142787</v>
      </c>
      <c r="Q21" s="109" cm="1">
        <f t="array" ref="Q21">Resistance2PowerMB(Q$3,$B21)</f>
        <v>449.70840810048713</v>
      </c>
      <c r="R21" s="92"/>
    </row>
    <row r="22" spans="1:18" x14ac:dyDescent="0.3">
      <c r="A22" s="99"/>
      <c r="B22" s="110">
        <v>35</v>
      </c>
      <c r="C22" s="110"/>
      <c r="D22" s="109" cm="1">
        <f t="array" ref="D22">Resistance2PowerMB(D$3,$B22)</f>
        <v>234.54119916450071</v>
      </c>
      <c r="E22" s="109" cm="1">
        <f t="array" ref="E22">Resistance2PowerMB(E$3,$B22)</f>
        <v>256.73951015208826</v>
      </c>
      <c r="F22" s="109" cm="1">
        <f t="array" ref="F22">Resistance2PowerMB(F$3,$B22)</f>
        <v>278.93782113967592</v>
      </c>
      <c r="G22" s="109" cm="1">
        <f t="array" ref="G22">Resistance2PowerMB(G$3,$B22)</f>
        <v>301.13613212726347</v>
      </c>
      <c r="H22" s="109" cm="1">
        <f t="array" ref="H22">Resistance2PowerMB(H$3,$B22)</f>
        <v>323.24906499566805</v>
      </c>
      <c r="I22" s="109" cm="1">
        <f t="array" ref="I22">Resistance2PowerMB(I$3,$B22)</f>
        <v>345.44737598325565</v>
      </c>
      <c r="J22" s="109" cm="1">
        <f t="array" ref="J22">Resistance2PowerMB(J$3,$B22)</f>
        <v>367.6456869708432</v>
      </c>
      <c r="K22" s="109" cm="1">
        <f t="array" ref="K22">Resistance2PowerMB(K$3,$B22)</f>
        <v>389.84399795843086</v>
      </c>
      <c r="L22" s="109" cm="1">
        <f t="array" ref="L22">Resistance2PowerMB(L$3,$B22)</f>
        <v>412.04230894601847</v>
      </c>
      <c r="M22" s="109" cm="1">
        <f t="array" ref="M22">Resistance2PowerMB(M$3,$B22)</f>
        <v>434.24061993360607</v>
      </c>
      <c r="N22" s="109" cm="1">
        <f t="array" ref="N22">Resistance2PowerMB(N$3,$B22)</f>
        <v>467.45270829580443</v>
      </c>
      <c r="O22" s="109" cm="1">
        <f t="array" ref="O22">Resistance2PowerMB(O$3,$B22)</f>
        <v>489.65101928339203</v>
      </c>
      <c r="P22" s="109" cm="1">
        <f t="array" ref="P22">Resistance2PowerMB(P$3,$B22)</f>
        <v>511.84933027097958</v>
      </c>
      <c r="Q22" s="109" cm="1">
        <f t="array" ref="Q22">Resistance2PowerMB(Q$3,$B22)</f>
        <v>545.14679675236107</v>
      </c>
      <c r="R22" s="92"/>
    </row>
    <row r="23" spans="1:18" x14ac:dyDescent="0.3">
      <c r="A23" s="99"/>
      <c r="B23" s="110">
        <v>40</v>
      </c>
      <c r="C23" s="110"/>
      <c r="D23" s="109" cm="1">
        <f t="array" ref="D23">Resistance2PowerMB(D$3,$B23)</f>
        <v>272.33291871044457</v>
      </c>
      <c r="E23" s="109" cm="1">
        <f t="array" ref="E23">Resistance2PowerMB(E$3,$B23)</f>
        <v>298.77490670985003</v>
      </c>
      <c r="F23" s="109" cm="1">
        <f t="array" ref="F23">Resistance2PowerMB(F$3,$B23)</f>
        <v>325.21689470925548</v>
      </c>
      <c r="G23" s="109" cm="1">
        <f t="array" ref="G23">Resistance2PowerMB(G$3,$B23)</f>
        <v>351.65888270866088</v>
      </c>
      <c r="H23" s="109" cm="1">
        <f t="array" ref="H23">Resistance2PowerMB(H$3,$B23)</f>
        <v>377.99917075422252</v>
      </c>
      <c r="I23" s="109" cm="1">
        <f t="array" ref="I23">Resistance2PowerMB(I$3,$B23)</f>
        <v>404.44115875362792</v>
      </c>
      <c r="J23" s="109" cm="1">
        <f t="array" ref="J23">Resistance2PowerMB(J$3,$B23)</f>
        <v>430.88314675303337</v>
      </c>
      <c r="K23" s="109" cm="1">
        <f t="array" ref="K23">Resistance2PowerMB(K$3,$B23)</f>
        <v>457.32513475243883</v>
      </c>
      <c r="L23" s="109" cm="1">
        <f t="array" ref="L23">Resistance2PowerMB(L$3,$B23)</f>
        <v>483.76712275184428</v>
      </c>
      <c r="M23" s="109" cm="1">
        <f t="array" ref="M23">Resistance2PowerMB(M$3,$B23)</f>
        <v>510.20911075124974</v>
      </c>
      <c r="N23" s="109" cm="1">
        <f t="array" ref="N23">Resistance2PowerMB(N$3,$B23)</f>
        <v>549.77039279651399</v>
      </c>
      <c r="O23" s="109" cm="1">
        <f t="array" ref="O23">Resistance2PowerMB(O$3,$B23)</f>
        <v>576.21238079591944</v>
      </c>
      <c r="P23" s="109" cm="1">
        <f t="array" ref="P23">Resistance2PowerMB(P$3,$B23)</f>
        <v>602.65436879532479</v>
      </c>
      <c r="Q23" s="109" cm="1">
        <f t="array" ref="Q23">Resistance2PowerMB(Q$3,$B23)</f>
        <v>642.31735079443308</v>
      </c>
      <c r="R23" s="92"/>
    </row>
    <row r="24" spans="1:18" x14ac:dyDescent="0.3">
      <c r="A24" s="99"/>
      <c r="B24" s="110">
        <v>45</v>
      </c>
      <c r="C24" s="110"/>
      <c r="D24" s="109" cm="1">
        <f t="array" ref="D24">Resistance2PowerMB(D$3,$B24)</f>
        <v>310.41605998835178</v>
      </c>
      <c r="E24" s="109" cm="1">
        <f t="array" ref="E24">Resistance2PowerMB(E$3,$B24)</f>
        <v>341.17465055329063</v>
      </c>
      <c r="F24" s="109" cm="1">
        <f t="array" ref="F24">Resistance2PowerMB(F$3,$B24)</f>
        <v>371.93324111822943</v>
      </c>
      <c r="G24" s="109" cm="1">
        <f t="array" ref="G24">Resistance2PowerMB(G$3,$B24)</f>
        <v>402.69183168316829</v>
      </c>
      <c r="H24" s="109" cm="1">
        <f t="array" ref="H24">Resistance2PowerMB(H$3,$B24)</f>
        <v>433.33211997670355</v>
      </c>
      <c r="I24" s="109" cm="1">
        <f t="array" ref="I24">Resistance2PowerMB(I$3,$B24)</f>
        <v>464.09071054164235</v>
      </c>
      <c r="J24" s="109" cm="1">
        <f t="array" ref="J24">Resistance2PowerMB(J$3,$B24)</f>
        <v>494.84930110658121</v>
      </c>
      <c r="K24" s="109" cm="1">
        <f t="array" ref="K24">Resistance2PowerMB(K$3,$B24)</f>
        <v>525.60789167152006</v>
      </c>
      <c r="L24" s="109" cm="1">
        <f t="array" ref="L24">Resistance2PowerMB(L$3,$B24)</f>
        <v>556.36648223645886</v>
      </c>
      <c r="M24" s="109" cm="1">
        <f t="array" ref="M24">Resistance2PowerMB(M$3,$B24)</f>
        <v>587.12507280139778</v>
      </c>
      <c r="N24" s="109" cm="1">
        <f t="array" ref="N24">Resistance2PowerMB(N$3,$B24)</f>
        <v>633.14465637740238</v>
      </c>
      <c r="O24" s="109" cm="1">
        <f t="array" ref="O24">Resistance2PowerMB(O$3,$B24)</f>
        <v>663.90324694234118</v>
      </c>
      <c r="P24" s="109" cm="1">
        <f t="array" ref="P24">Resistance2PowerMB(P$3,$B24)</f>
        <v>694.66183750727998</v>
      </c>
      <c r="Q24" s="109" cm="1">
        <f t="array" ref="Q24">Resistance2PowerMB(Q$3,$B24)</f>
        <v>740.79972335468835</v>
      </c>
      <c r="R24" s="92"/>
    </row>
    <row r="25" spans="1:18" x14ac:dyDescent="0.3">
      <c r="A25" s="99"/>
      <c r="B25" s="110">
        <v>50</v>
      </c>
      <c r="C25" s="110"/>
      <c r="D25" s="109" cm="1">
        <f t="array" ref="D25">Resistance2PowerMB(D$3,$B25)</f>
        <v>348.72519573995356</v>
      </c>
      <c r="E25" s="109" cm="1">
        <f t="array" ref="E25">Resistance2PowerMB(E$3,$B25)</f>
        <v>383.85694186673055</v>
      </c>
      <c r="F25" s="109" cm="1">
        <f t="array" ref="F25">Resistance2PowerMB(F$3,$B25)</f>
        <v>418.98868799350748</v>
      </c>
      <c r="G25" s="109" cm="1">
        <f t="array" ref="G25">Resistance2PowerMB(G$3,$B25)</f>
        <v>454.12043412028447</v>
      </c>
      <c r="H25" s="109" cm="1">
        <f t="array" ref="H25">Resistance2PowerMB(H$3,$B25)</f>
        <v>489.11705814657387</v>
      </c>
      <c r="I25" s="109" cm="1">
        <f t="array" ref="I25">Resistance2PowerMB(I$3,$B25)</f>
        <v>524.24880427335074</v>
      </c>
      <c r="J25" s="109" cm="1">
        <f t="array" ref="J25">Resistance2PowerMB(J$3,$B25)</f>
        <v>559.38055040012773</v>
      </c>
      <c r="K25" s="109" cm="1">
        <f t="array" ref="K25">Resistance2PowerMB(K$3,$B25)</f>
        <v>594.51229652690472</v>
      </c>
      <c r="L25" s="109" cm="1">
        <f t="array" ref="L25">Resistance2PowerMB(L$3,$B25)</f>
        <v>629.64404265368171</v>
      </c>
      <c r="M25" s="109" cm="1">
        <f t="array" ref="M25">Resistance2PowerMB(M$3,$B25)</f>
        <v>664.7757887804587</v>
      </c>
      <c r="N25" s="109" cm="1">
        <f t="array" ref="N25">Resistance2PowerMB(N$3,$B25)</f>
        <v>717.33828587013647</v>
      </c>
      <c r="O25" s="109" cm="1">
        <f t="array" ref="O25">Resistance2PowerMB(O$3,$B25)</f>
        <v>752.47003199691358</v>
      </c>
      <c r="P25" s="109" cm="1">
        <f t="array" ref="P25">Resistance2PowerMB(P$3,$B25)</f>
        <v>787.60177812369034</v>
      </c>
      <c r="Q25" s="109" cm="1">
        <f t="array" ref="Q25">Resistance2PowerMB(Q$3,$B25)</f>
        <v>840.29939731385582</v>
      </c>
      <c r="R25" s="92"/>
    </row>
    <row r="26" spans="1:18" x14ac:dyDescent="0.3"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1:18" x14ac:dyDescent="0.3">
      <c r="A27" t="s">
        <v>149</v>
      </c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1:18" x14ac:dyDescent="0.3">
      <c r="A28" s="114" t="s">
        <v>151</v>
      </c>
      <c r="B28" s="114" t="s">
        <v>146</v>
      </c>
      <c r="C28" s="114"/>
      <c r="D28" s="98">
        <v>5</v>
      </c>
      <c r="E28" s="98">
        <v>10</v>
      </c>
      <c r="F28" s="98">
        <v>15</v>
      </c>
      <c r="G28" s="98">
        <v>20</v>
      </c>
      <c r="H28" s="98">
        <v>25</v>
      </c>
      <c r="I28" s="98">
        <v>30</v>
      </c>
      <c r="J28" s="98">
        <v>35</v>
      </c>
      <c r="K28" s="98">
        <v>40</v>
      </c>
      <c r="L28" s="98">
        <v>45</v>
      </c>
      <c r="M28" s="98">
        <v>50</v>
      </c>
      <c r="N28" s="92"/>
      <c r="O28" t="s">
        <v>93</v>
      </c>
      <c r="P28" s="111">
        <v>90</v>
      </c>
      <c r="Q28" s="92"/>
      <c r="R28" s="92"/>
    </row>
    <row r="29" spans="1:18" x14ac:dyDescent="0.3">
      <c r="A29" s="115">
        <v>-10</v>
      </c>
      <c r="B29" s="116">
        <f t="shared" ref="B29:B39" si="1">(A29+$P$30)*$P$31</f>
        <v>0</v>
      </c>
      <c r="C29" s="116"/>
      <c r="D29" s="95">
        <f>Speed2Power(D$28,$B29,$P$28)</f>
        <v>42.389262474279832</v>
      </c>
      <c r="E29" s="95">
        <f>Speed2Power(E$28,$B29,$P$28)</f>
        <v>50.684099794238684</v>
      </c>
      <c r="F29" s="95">
        <f>Speed2Power(F$28,$B29,$P$28)</f>
        <v>64.790086805555561</v>
      </c>
      <c r="G29" s="95">
        <f>Speed2Power(G$28,$B29,$P$28)</f>
        <v>87.612798353909454</v>
      </c>
      <c r="H29" s="95">
        <f>Speed2Power(H$28,$B29,$P$28)</f>
        <v>122.05780928497943</v>
      </c>
      <c r="I29" s="95">
        <f>Speed2Power(I$28,$B29,$P$28)</f>
        <v>171.03069444444446</v>
      </c>
      <c r="J29" s="95">
        <f>Speed2Power(J$28,$B29,$P$28)</f>
        <v>237.43702867798348</v>
      </c>
      <c r="K29" s="95">
        <f>Speed2Power(K$28,$B29,$P$28)</f>
        <v>324.18238683127566</v>
      </c>
      <c r="L29" s="95">
        <f>Speed2Power(L$28,$B29,$P$28)</f>
        <v>434.17234374999998</v>
      </c>
      <c r="M29" s="95">
        <f>Speed2Power(M$28,$B29,$P$28)</f>
        <v>570.31247427983533</v>
      </c>
      <c r="O29" s="92" t="s">
        <v>150</v>
      </c>
      <c r="P29" s="113">
        <v>3</v>
      </c>
    </row>
    <row r="30" spans="1:18" x14ac:dyDescent="0.3">
      <c r="A30" s="115">
        <f t="shared" ref="A30:A39" si="2">A29+$P$29</f>
        <v>-7</v>
      </c>
      <c r="B30" s="116">
        <f t="shared" si="1"/>
        <v>0.60000000000000009</v>
      </c>
      <c r="C30" s="116"/>
      <c r="D30" s="95">
        <f>Speed2Power(D$28,$B30,$P$28)</f>
        <v>49.746762474279834</v>
      </c>
      <c r="E30" s="95">
        <f>Speed2Power(E$28,$B30,$P$28)</f>
        <v>65.39909979423868</v>
      </c>
      <c r="F30" s="95">
        <f>Speed2Power(F$28,$B30,$P$28)</f>
        <v>86.862586805555566</v>
      </c>
      <c r="G30" s="95">
        <f>Speed2Power(G$28,$B30,$P$28)</f>
        <v>117.04279835390946</v>
      </c>
      <c r="H30" s="95">
        <f>Speed2Power(H$28,$B30,$P$28)</f>
        <v>158.84530928497944</v>
      </c>
      <c r="I30" s="95">
        <f>Speed2Power(I$28,$B30,$P$28)</f>
        <v>215.17569444444447</v>
      </c>
      <c r="J30" s="95">
        <f>Speed2Power(J$28,$B30,$P$28)</f>
        <v>288.9395286779835</v>
      </c>
      <c r="K30" s="95">
        <f>Speed2Power(K$28,$B30,$P$28)</f>
        <v>383.04238683127568</v>
      </c>
      <c r="L30" s="95">
        <f>Speed2Power(L$28,$B30,$P$28)</f>
        <v>500.38984374999995</v>
      </c>
      <c r="M30" s="95">
        <f>Speed2Power(M$28,$B30,$P$28)</f>
        <v>643.88747427983537</v>
      </c>
      <c r="O30" t="s">
        <v>135</v>
      </c>
      <c r="P30" s="97">
        <v>10</v>
      </c>
    </row>
    <row r="31" spans="1:18" x14ac:dyDescent="0.3">
      <c r="A31" s="115">
        <f t="shared" si="2"/>
        <v>-4</v>
      </c>
      <c r="B31" s="116">
        <f t="shared" si="1"/>
        <v>1.2000000000000002</v>
      </c>
      <c r="C31" s="116"/>
      <c r="D31" s="95">
        <f>Speed2Power(D$28,$B31,$P$28)</f>
        <v>57.104262474279835</v>
      </c>
      <c r="E31" s="95">
        <f>Speed2Power(E$28,$B31,$P$28)</f>
        <v>80.114099794238683</v>
      </c>
      <c r="F31" s="95">
        <f>Speed2Power(F$28,$B31,$P$28)</f>
        <v>108.93508680555557</v>
      </c>
      <c r="G31" s="95">
        <f>Speed2Power(G$28,$B31,$P$28)</f>
        <v>146.47279835390947</v>
      </c>
      <c r="H31" s="95">
        <f>Speed2Power(H$28,$B31,$P$28)</f>
        <v>195.63280928497943</v>
      </c>
      <c r="I31" s="95">
        <f>Speed2Power(I$28,$B31,$P$28)</f>
        <v>259.32069444444448</v>
      </c>
      <c r="J31" s="95">
        <f>Speed2Power(J$28,$B31,$P$28)</f>
        <v>340.44202867798344</v>
      </c>
      <c r="K31" s="95">
        <f>Speed2Power(K$28,$B31,$P$28)</f>
        <v>441.90238683127569</v>
      </c>
      <c r="L31" s="95">
        <f>Speed2Power(L$28,$B31,$P$28)</f>
        <v>566.60734374999993</v>
      </c>
      <c r="M31" s="95">
        <f>Speed2Power(M$28,$B31,$P$28)</f>
        <v>717.46247427983531</v>
      </c>
      <c r="O31" t="s">
        <v>133</v>
      </c>
      <c r="P31" s="55">
        <f>1/5</f>
        <v>0.2</v>
      </c>
    </row>
    <row r="32" spans="1:18" x14ac:dyDescent="0.3">
      <c r="A32" s="115">
        <f t="shared" si="2"/>
        <v>-1</v>
      </c>
      <c r="B32" s="116">
        <f t="shared" si="1"/>
        <v>1.8</v>
      </c>
      <c r="C32" s="116"/>
      <c r="D32" s="95">
        <f>Speed2Power(D$28,$B32,$P$28)</f>
        <v>64.461762474279837</v>
      </c>
      <c r="E32" s="95">
        <f>Speed2Power(E$28,$B32,$P$28)</f>
        <v>94.829099794238687</v>
      </c>
      <c r="F32" s="95">
        <f>Speed2Power(F$28,$B32,$P$28)</f>
        <v>131.00758680555558</v>
      </c>
      <c r="G32" s="95">
        <f>Speed2Power(G$28,$B32,$P$28)</f>
        <v>175.90279835390947</v>
      </c>
      <c r="H32" s="95">
        <f>Speed2Power(H$28,$B32,$P$28)</f>
        <v>232.42030928497945</v>
      </c>
      <c r="I32" s="95">
        <f>Speed2Power(I$28,$B32,$P$28)</f>
        <v>303.46569444444447</v>
      </c>
      <c r="J32" s="95">
        <f>Speed2Power(J$28,$B32,$P$28)</f>
        <v>391.9445286779835</v>
      </c>
      <c r="K32" s="95">
        <f>Speed2Power(K$28,$B32,$P$28)</f>
        <v>500.76238683127565</v>
      </c>
      <c r="L32" s="95">
        <f>Speed2Power(L$28,$B32,$P$28)</f>
        <v>632.82484375000001</v>
      </c>
      <c r="M32" s="95">
        <f>Speed2Power(M$28,$B32,$P$28)</f>
        <v>791.03747427983535</v>
      </c>
    </row>
    <row r="33" spans="1:13" x14ac:dyDescent="0.3">
      <c r="A33" s="115">
        <f t="shared" si="2"/>
        <v>2</v>
      </c>
      <c r="B33" s="116">
        <f t="shared" si="1"/>
        <v>2.4000000000000004</v>
      </c>
      <c r="C33" s="116"/>
      <c r="D33" s="95">
        <f>Speed2Power(D$28,$B33,$P$28)</f>
        <v>71.819262474279839</v>
      </c>
      <c r="E33" s="95">
        <f>Speed2Power(E$28,$B33,$P$28)</f>
        <v>109.54409979423869</v>
      </c>
      <c r="F33" s="95">
        <f>Speed2Power(F$28,$B33,$P$28)</f>
        <v>153.0800868055556</v>
      </c>
      <c r="G33" s="95">
        <f>Speed2Power(G$28,$B33,$P$28)</f>
        <v>205.33279835390948</v>
      </c>
      <c r="H33" s="95">
        <f>Speed2Power(H$28,$B33,$P$28)</f>
        <v>269.20780928497942</v>
      </c>
      <c r="I33" s="95">
        <f>Speed2Power(I$28,$B33,$P$28)</f>
        <v>347.6106944444445</v>
      </c>
      <c r="J33" s="95">
        <f>Speed2Power(J$28,$B33,$P$28)</f>
        <v>443.44702867798344</v>
      </c>
      <c r="K33" s="95">
        <f>Speed2Power(K$28,$B33,$P$28)</f>
        <v>559.62238683127566</v>
      </c>
      <c r="L33" s="95">
        <f>Speed2Power(L$28,$B33,$P$28)</f>
        <v>699.04234374999999</v>
      </c>
      <c r="M33" s="95">
        <f>Speed2Power(M$28,$B33,$P$28)</f>
        <v>864.6124742798354</v>
      </c>
    </row>
    <row r="34" spans="1:13" x14ac:dyDescent="0.3">
      <c r="A34" s="115">
        <f t="shared" si="2"/>
        <v>5</v>
      </c>
      <c r="B34" s="116">
        <f t="shared" si="1"/>
        <v>3</v>
      </c>
      <c r="C34" s="116"/>
      <c r="D34" s="95">
        <f>Speed2Power(D$28,$B34,$P$28)</f>
        <v>79.176762474279826</v>
      </c>
      <c r="E34" s="95">
        <f>Speed2Power(E$28,$B34,$P$28)</f>
        <v>124.25909979423867</v>
      </c>
      <c r="F34" s="95">
        <f>Speed2Power(F$28,$B34,$P$28)</f>
        <v>175.15258680555556</v>
      </c>
      <c r="G34" s="95">
        <f>Speed2Power(G$28,$B34,$P$28)</f>
        <v>234.76279835390943</v>
      </c>
      <c r="H34" s="95">
        <f>Speed2Power(H$28,$B34,$P$28)</f>
        <v>305.99530928497944</v>
      </c>
      <c r="I34" s="95">
        <f>Speed2Power(I$28,$B34,$P$28)</f>
        <v>391.75569444444443</v>
      </c>
      <c r="J34" s="95">
        <f>Speed2Power(J$28,$B34,$P$28)</f>
        <v>494.94952867798349</v>
      </c>
      <c r="K34" s="95">
        <f>Speed2Power(K$28,$B34,$P$28)</f>
        <v>618.48238683127556</v>
      </c>
      <c r="L34" s="95">
        <f>Speed2Power(L$28,$B34,$P$28)</f>
        <v>765.25984374999996</v>
      </c>
      <c r="M34" s="95">
        <f>Speed2Power(M$28,$B34,$P$28)</f>
        <v>938.18747427983533</v>
      </c>
    </row>
    <row r="35" spans="1:13" x14ac:dyDescent="0.3">
      <c r="A35" s="115">
        <f t="shared" si="2"/>
        <v>8</v>
      </c>
      <c r="B35" s="116">
        <f t="shared" si="1"/>
        <v>3.6</v>
      </c>
      <c r="C35" s="116"/>
      <c r="D35" s="95">
        <f>Speed2Power(D$28,$B35,$P$28)</f>
        <v>86.534262474279842</v>
      </c>
      <c r="E35" s="95">
        <f>Speed2Power(E$28,$B35,$P$28)</f>
        <v>138.9740997942387</v>
      </c>
      <c r="F35" s="95">
        <f>Speed2Power(F$28,$B35,$P$28)</f>
        <v>197.22508680555558</v>
      </c>
      <c r="G35" s="95">
        <f>Speed2Power(G$28,$B35,$P$28)</f>
        <v>264.19279835390944</v>
      </c>
      <c r="H35" s="95">
        <f>Speed2Power(H$28,$B35,$P$28)</f>
        <v>342.78280928497946</v>
      </c>
      <c r="I35" s="95">
        <f>Speed2Power(I$28,$B35,$P$28)</f>
        <v>435.90069444444453</v>
      </c>
      <c r="J35" s="95">
        <f>Speed2Power(J$28,$B35,$P$28)</f>
        <v>546.45202867798355</v>
      </c>
      <c r="K35" s="95">
        <f>Speed2Power(K$28,$B35,$P$28)</f>
        <v>677.34238683127569</v>
      </c>
      <c r="L35" s="95">
        <f>Speed2Power(L$28,$B35,$P$28)</f>
        <v>831.47734375000005</v>
      </c>
      <c r="M35" s="95">
        <f>Speed2Power(M$28,$B35,$P$28)</f>
        <v>1011.7624742798355</v>
      </c>
    </row>
    <row r="36" spans="1:13" x14ac:dyDescent="0.3">
      <c r="A36" s="115">
        <f t="shared" si="2"/>
        <v>11</v>
      </c>
      <c r="B36" s="116">
        <f t="shared" si="1"/>
        <v>4.2</v>
      </c>
      <c r="C36" s="116"/>
      <c r="D36" s="95">
        <f>Speed2Power(D$28,$B36,$P$28)</f>
        <v>93.89176247427983</v>
      </c>
      <c r="E36" s="95">
        <f>Speed2Power(E$28,$B36,$P$28)</f>
        <v>153.68909979423867</v>
      </c>
      <c r="F36" s="95">
        <f>Speed2Power(F$28,$B36,$P$28)</f>
        <v>219.29758680555557</v>
      </c>
      <c r="G36" s="95">
        <f>Speed2Power(G$28,$B36,$P$28)</f>
        <v>293.62279835390945</v>
      </c>
      <c r="H36" s="95">
        <f>Speed2Power(H$28,$B36,$P$28)</f>
        <v>379.57030928497943</v>
      </c>
      <c r="I36" s="95">
        <f>Speed2Power(I$28,$B36,$P$28)</f>
        <v>480.04569444444451</v>
      </c>
      <c r="J36" s="95">
        <f>Speed2Power(J$28,$B36,$P$28)</f>
        <v>597.95452867798349</v>
      </c>
      <c r="K36" s="95">
        <f>Speed2Power(K$28,$B36,$P$28)</f>
        <v>736.20238683127559</v>
      </c>
      <c r="L36" s="95">
        <f>Speed2Power(L$28,$B36,$P$28)</f>
        <v>897.69484375000002</v>
      </c>
      <c r="M36" s="95">
        <f>Speed2Power(M$28,$B36,$P$28)</f>
        <v>1085.3374742798353</v>
      </c>
    </row>
    <row r="37" spans="1:13" x14ac:dyDescent="0.3">
      <c r="A37" s="115">
        <f t="shared" si="2"/>
        <v>14</v>
      </c>
      <c r="B37" s="116">
        <f t="shared" si="1"/>
        <v>4.8000000000000007</v>
      </c>
      <c r="C37" s="116"/>
      <c r="D37" s="95">
        <f>Speed2Power(D$28,$B37,$P$28)</f>
        <v>101.24926247427985</v>
      </c>
      <c r="E37" s="95">
        <f>Speed2Power(E$28,$B37,$P$28)</f>
        <v>168.4040997942387</v>
      </c>
      <c r="F37" s="95">
        <f>Speed2Power(F$28,$B37,$P$28)</f>
        <v>241.37008680555562</v>
      </c>
      <c r="G37" s="95">
        <f>Speed2Power(G$28,$B37,$P$28)</f>
        <v>323.05279835390951</v>
      </c>
      <c r="H37" s="95">
        <f>Speed2Power(H$28,$B37,$P$28)</f>
        <v>416.35780928497945</v>
      </c>
      <c r="I37" s="95">
        <f>Speed2Power(I$28,$B37,$P$28)</f>
        <v>524.19069444444449</v>
      </c>
      <c r="J37" s="95">
        <f>Speed2Power(J$28,$B37,$P$28)</f>
        <v>649.45702867798343</v>
      </c>
      <c r="K37" s="95">
        <f>Speed2Power(K$28,$B37,$P$28)</f>
        <v>795.06238683127572</v>
      </c>
      <c r="L37" s="95">
        <f>Speed2Power(L$28,$B37,$P$28)</f>
        <v>963.91234374999999</v>
      </c>
      <c r="M37" s="95">
        <f>Speed2Power(M$28,$B37,$P$28)</f>
        <v>1158.9124742798354</v>
      </c>
    </row>
    <row r="38" spans="1:13" x14ac:dyDescent="0.3">
      <c r="A38" s="115">
        <f t="shared" si="2"/>
        <v>17</v>
      </c>
      <c r="B38" s="116">
        <f t="shared" si="1"/>
        <v>5.4</v>
      </c>
      <c r="C38" s="116"/>
      <c r="D38" s="95">
        <f>Speed2Power(D$28,$B38,$P$28)</f>
        <v>108.60676247427985</v>
      </c>
      <c r="E38" s="95">
        <f>Speed2Power(E$28,$B38,$P$28)</f>
        <v>183.11909979423871</v>
      </c>
      <c r="F38" s="95">
        <f>Speed2Power(F$28,$B38,$P$28)</f>
        <v>263.44258680555561</v>
      </c>
      <c r="G38" s="95">
        <f>Speed2Power(G$28,$B38,$P$28)</f>
        <v>352.48279835390952</v>
      </c>
      <c r="H38" s="95">
        <f>Speed2Power(H$28,$B38,$P$28)</f>
        <v>453.14530928497948</v>
      </c>
      <c r="I38" s="95">
        <f>Speed2Power(I$28,$B38,$P$28)</f>
        <v>568.33569444444447</v>
      </c>
      <c r="J38" s="95">
        <f>Speed2Power(J$28,$B38,$P$28)</f>
        <v>700.95952867798349</v>
      </c>
      <c r="K38" s="95">
        <f>Speed2Power(K$28,$B38,$P$28)</f>
        <v>853.92238683127584</v>
      </c>
      <c r="L38" s="95">
        <f>Speed2Power(L$28,$B38,$P$28)</f>
        <v>1030.12984375</v>
      </c>
      <c r="M38" s="95">
        <f>Speed2Power(M$28,$B38,$P$28)</f>
        <v>1232.4874742798354</v>
      </c>
    </row>
    <row r="39" spans="1:13" x14ac:dyDescent="0.3">
      <c r="A39" s="115">
        <f t="shared" si="2"/>
        <v>20</v>
      </c>
      <c r="B39" s="116">
        <f t="shared" si="1"/>
        <v>6</v>
      </c>
      <c r="C39" s="116"/>
      <c r="D39" s="95">
        <f>Speed2Power(D$28,$B39,$P$28)</f>
        <v>115.96426247427982</v>
      </c>
      <c r="E39" s="95">
        <f>Speed2Power(E$28,$B39,$P$28)</f>
        <v>197.83409979423865</v>
      </c>
      <c r="F39" s="95">
        <f>Speed2Power(F$28,$B39,$P$28)</f>
        <v>285.51508680555554</v>
      </c>
      <c r="G39" s="95">
        <f>Speed2Power(G$28,$B39,$P$28)</f>
        <v>381.91279835390941</v>
      </c>
      <c r="H39" s="95">
        <f>Speed2Power(H$28,$B39,$P$28)</f>
        <v>489.93280928497944</v>
      </c>
      <c r="I39" s="95">
        <f>Speed2Power(I$28,$B39,$P$28)</f>
        <v>612.48069444444445</v>
      </c>
      <c r="J39" s="95">
        <f>Speed2Power(J$28,$B39,$P$28)</f>
        <v>752.46202867798343</v>
      </c>
      <c r="K39" s="95">
        <f>Speed2Power(K$28,$B39,$P$28)</f>
        <v>912.78238683127552</v>
      </c>
      <c r="L39" s="95">
        <f>Speed2Power(L$28,$B39,$P$28)</f>
        <v>1096.3473437499999</v>
      </c>
      <c r="M39" s="95">
        <f>Speed2Power(M$28,$B39,$P$28)</f>
        <v>1306.0624742798354</v>
      </c>
    </row>
    <row r="40" spans="1:13" x14ac:dyDescent="0.3">
      <c r="B40" s="94"/>
      <c r="C40" s="94"/>
      <c r="D40" s="95"/>
      <c r="E40" s="95"/>
      <c r="F40" s="95"/>
      <c r="G40" s="95"/>
      <c r="H40" s="95"/>
      <c r="I40" s="95"/>
      <c r="J40" s="95"/>
      <c r="K40" s="95"/>
      <c r="L40" s="95"/>
      <c r="M40" s="95"/>
    </row>
    <row r="41" spans="1:13" x14ac:dyDescent="0.3">
      <c r="A41" s="97">
        <f>A29</f>
        <v>-10</v>
      </c>
      <c r="B41" s="112">
        <f>B29</f>
        <v>0</v>
      </c>
      <c r="C41" s="96">
        <v>4677</v>
      </c>
      <c r="D41" s="96" cm="1">
        <f t="array" ref="D41">Power2ResistanceMB(D29,D$28)</f>
        <v>4677</v>
      </c>
      <c r="E41" s="96" cm="1">
        <f t="array" ref="E41">Power2ResistanceMB(E29,E$28)</f>
        <v>1039</v>
      </c>
      <c r="F41" s="96" cm="1">
        <f t="array" ref="F41">Power2ResistanceMB(F29,F$28)</f>
        <v>1039</v>
      </c>
      <c r="G41" s="96" cm="1">
        <f t="array" ref="G41">Power2ResistanceMB(G29,G$28)</f>
        <v>1039</v>
      </c>
      <c r="H41" s="96" cm="1">
        <f t="array" ref="H41">Power2ResistanceMB(H29,H$28)</f>
        <v>1039</v>
      </c>
      <c r="I41" s="96" cm="1">
        <f t="array" ref="I41">Power2ResistanceMB(I29,I$28)</f>
        <v>1039</v>
      </c>
      <c r="J41" s="96" cm="1">
        <f t="array" ref="J41">Power2ResistanceMB(J29,J$28)</f>
        <v>1299</v>
      </c>
      <c r="K41" s="96" cm="1">
        <f t="array" ref="K41">Power2ResistanceMB(K29,K$28)</f>
        <v>1559</v>
      </c>
      <c r="L41" s="96" cm="1">
        <f t="array" ref="L41">Power2ResistanceMB(L29,L$28)</f>
        <v>2338</v>
      </c>
      <c r="M41" s="96" cm="1">
        <f t="array" ref="M41">Power2ResistanceMB(M29,M$28)</f>
        <v>2858</v>
      </c>
    </row>
    <row r="42" spans="1:13" x14ac:dyDescent="0.3">
      <c r="A42" s="97">
        <f t="shared" ref="A42:A51" si="3">A30</f>
        <v>-7</v>
      </c>
      <c r="B42" s="112">
        <f t="shared" ref="B42:B51" si="4">B30</f>
        <v>0.60000000000000009</v>
      </c>
      <c r="C42" s="96">
        <v>4677</v>
      </c>
      <c r="D42" s="96" cm="1">
        <f t="array" ref="D42">Power2ResistanceMB(D30,D$28)</f>
        <v>4677</v>
      </c>
      <c r="E42" s="96" cm="1">
        <f t="array" ref="E42">Power2ResistanceMB(E30,E$28)</f>
        <v>1819</v>
      </c>
      <c r="F42" s="96" cm="1">
        <f t="array" ref="F42">Power2ResistanceMB(F30,F$28)</f>
        <v>1039</v>
      </c>
      <c r="G42" s="96" cm="1">
        <f t="array" ref="G42">Power2ResistanceMB(G30,G$28)</f>
        <v>1039</v>
      </c>
      <c r="H42" s="96" cm="1">
        <f t="array" ref="H42">Power2ResistanceMB(H30,H$28)</f>
        <v>1039</v>
      </c>
      <c r="I42" s="96" cm="1">
        <f t="array" ref="I42">Power2ResistanceMB(I30,I$28)</f>
        <v>1299</v>
      </c>
      <c r="J42" s="96" cm="1">
        <f t="array" ref="J42">Power2ResistanceMB(J30,J$28)</f>
        <v>1819</v>
      </c>
      <c r="K42" s="96" cm="1">
        <f t="array" ref="K42">Power2ResistanceMB(K30,K$28)</f>
        <v>2338</v>
      </c>
      <c r="L42" s="96" cm="1">
        <f t="array" ref="L42">Power2ResistanceMB(L30,L$28)</f>
        <v>2858</v>
      </c>
      <c r="M42" s="96" cm="1">
        <f t="array" ref="M42">Power2ResistanceMB(M30,M$28)</f>
        <v>3378</v>
      </c>
    </row>
    <row r="43" spans="1:13" x14ac:dyDescent="0.3">
      <c r="A43" s="97">
        <f t="shared" si="3"/>
        <v>-4</v>
      </c>
      <c r="B43" s="112">
        <f t="shared" si="4"/>
        <v>1.2000000000000002</v>
      </c>
      <c r="C43" s="96">
        <v>4677</v>
      </c>
      <c r="D43" s="96" cm="1">
        <f t="array" ref="D43">Power2ResistanceMB(D31,D$28)</f>
        <v>4677</v>
      </c>
      <c r="E43" s="96" cm="1">
        <f t="array" ref="E43">Power2ResistanceMB(E31,E$28)</f>
        <v>2858</v>
      </c>
      <c r="F43" s="96" cm="1">
        <f t="array" ref="F43">Power2ResistanceMB(F31,F$28)</f>
        <v>1819</v>
      </c>
      <c r="G43" s="96" cm="1">
        <f t="array" ref="G43">Power2ResistanceMB(G31,G$28)</f>
        <v>1819</v>
      </c>
      <c r="H43" s="96" cm="1">
        <f t="array" ref="H43">Power2ResistanceMB(H31,H$28)</f>
        <v>1819</v>
      </c>
      <c r="I43" s="96" cm="1">
        <f t="array" ref="I43">Power2ResistanceMB(I31,I$28)</f>
        <v>2078</v>
      </c>
      <c r="J43" s="96" cm="1">
        <f t="array" ref="J43">Power2ResistanceMB(J31,J$28)</f>
        <v>2338</v>
      </c>
      <c r="K43" s="96" cm="1">
        <f t="array" ref="K43">Power2ResistanceMB(K31,K$28)</f>
        <v>2858</v>
      </c>
      <c r="L43" s="96" cm="1">
        <f t="array" ref="L43">Power2ResistanceMB(L31,L$28)</f>
        <v>3378</v>
      </c>
      <c r="M43" s="96" cm="1">
        <f t="array" ref="M43">Power2ResistanceMB(M31,M$28)</f>
        <v>4027</v>
      </c>
    </row>
    <row r="44" spans="1:13" x14ac:dyDescent="0.3">
      <c r="A44" s="97">
        <f t="shared" si="3"/>
        <v>-1</v>
      </c>
      <c r="B44" s="112">
        <f t="shared" si="4"/>
        <v>1.8</v>
      </c>
      <c r="C44" s="96">
        <v>4677</v>
      </c>
      <c r="D44" s="96" cm="1">
        <f t="array" ref="D44">Power2ResistanceMB(D32,D$28)</f>
        <v>4677</v>
      </c>
      <c r="E44" s="96" cm="1">
        <f t="array" ref="E44">Power2ResistanceMB(E32,E$28)</f>
        <v>4027</v>
      </c>
      <c r="F44" s="96" cm="1">
        <f t="array" ref="F44">Power2ResistanceMB(F32,F$28)</f>
        <v>2858</v>
      </c>
      <c r="G44" s="96" cm="1">
        <f t="array" ref="G44">Power2ResistanceMB(G32,G$28)</f>
        <v>2598</v>
      </c>
      <c r="H44" s="96" cm="1">
        <f t="array" ref="H44">Power2ResistanceMB(H32,H$28)</f>
        <v>2598</v>
      </c>
      <c r="I44" s="96" cm="1">
        <f t="array" ref="I44">Power2ResistanceMB(I32,I$28)</f>
        <v>2598</v>
      </c>
      <c r="J44" s="96" cm="1">
        <f t="array" ref="J44">Power2ResistanceMB(J32,J$28)</f>
        <v>3118</v>
      </c>
      <c r="K44" s="96" cm="1">
        <f t="array" ref="K44">Power2ResistanceMB(K32,K$28)</f>
        <v>3378</v>
      </c>
      <c r="L44" s="96" cm="1">
        <f t="array" ref="L44">Power2ResistanceMB(L32,L$28)</f>
        <v>3767</v>
      </c>
      <c r="M44" s="96" cm="1">
        <f t="array" ref="M44">Power2ResistanceMB(M32,M$28)</f>
        <v>4677</v>
      </c>
    </row>
    <row r="45" spans="1:13" x14ac:dyDescent="0.3">
      <c r="A45" s="97">
        <f t="shared" si="3"/>
        <v>2</v>
      </c>
      <c r="B45" s="112">
        <f t="shared" si="4"/>
        <v>2.4000000000000004</v>
      </c>
      <c r="C45" s="96">
        <v>4677</v>
      </c>
      <c r="D45" s="96" cm="1">
        <f t="array" ref="D45">Power2ResistanceMB(D33,D$28)</f>
        <v>4677</v>
      </c>
      <c r="E45" s="96" cm="1">
        <f t="array" ref="E45">Power2ResistanceMB(E33,E$28)</f>
        <v>4677</v>
      </c>
      <c r="F45" s="96" cm="1">
        <f t="array" ref="F45">Power2ResistanceMB(F33,F$28)</f>
        <v>3767</v>
      </c>
      <c r="G45" s="96" cm="1">
        <f t="array" ref="G45">Power2ResistanceMB(G33,G$28)</f>
        <v>3118</v>
      </c>
      <c r="H45" s="96" cm="1">
        <f t="array" ref="H45">Power2ResistanceMB(H33,H$28)</f>
        <v>3118</v>
      </c>
      <c r="I45" s="96" cm="1">
        <f t="array" ref="I45">Power2ResistanceMB(I33,I$28)</f>
        <v>3378</v>
      </c>
      <c r="J45" s="96" cm="1">
        <f t="array" ref="J45">Power2ResistanceMB(J33,J$28)</f>
        <v>3767</v>
      </c>
      <c r="K45" s="96" cm="1">
        <f t="array" ref="K45">Power2ResistanceMB(K33,K$28)</f>
        <v>4027</v>
      </c>
      <c r="L45" s="96" cm="1">
        <f t="array" ref="L45">Power2ResistanceMB(L33,L$28)</f>
        <v>4677</v>
      </c>
      <c r="M45" s="96" cm="1">
        <f t="array" ref="M45">Power2ResistanceMB(M33,M$28)</f>
        <v>4677</v>
      </c>
    </row>
    <row r="46" spans="1:13" x14ac:dyDescent="0.3">
      <c r="A46" s="97">
        <f t="shared" si="3"/>
        <v>5</v>
      </c>
      <c r="B46" s="112">
        <f t="shared" si="4"/>
        <v>3</v>
      </c>
      <c r="C46" s="96">
        <v>4677</v>
      </c>
      <c r="D46" s="96" cm="1">
        <f t="array" ref="D46">Power2ResistanceMB(D34,D$28)</f>
        <v>4677</v>
      </c>
      <c r="E46" s="96" cm="1">
        <f t="array" ref="E46">Power2ResistanceMB(E34,E$28)</f>
        <v>4677</v>
      </c>
      <c r="F46" s="96" cm="1">
        <f t="array" ref="F46">Power2ResistanceMB(F34,F$28)</f>
        <v>4677</v>
      </c>
      <c r="G46" s="96" cm="1">
        <f t="array" ref="G46">Power2ResistanceMB(G34,G$28)</f>
        <v>4027</v>
      </c>
      <c r="H46" s="96" cm="1">
        <f t="array" ref="H46">Power2ResistanceMB(H34,H$28)</f>
        <v>3767</v>
      </c>
      <c r="I46" s="96" cm="1">
        <f t="array" ref="I46">Power2ResistanceMB(I34,I$28)</f>
        <v>4027</v>
      </c>
      <c r="J46" s="96" cm="1">
        <f t="array" ref="J46">Power2ResistanceMB(J34,J$28)</f>
        <v>4287</v>
      </c>
      <c r="K46" s="96" cm="1">
        <f t="array" ref="K46">Power2ResistanceMB(K34,K$28)</f>
        <v>4677</v>
      </c>
      <c r="L46" s="96" cm="1">
        <f t="array" ref="L46">Power2ResistanceMB(L34,L$28)</f>
        <v>4677</v>
      </c>
      <c r="M46" s="96" cm="1">
        <f t="array" ref="M46">Power2ResistanceMB(M34,M$28)</f>
        <v>4677</v>
      </c>
    </row>
    <row r="47" spans="1:13" x14ac:dyDescent="0.3">
      <c r="A47" s="97">
        <f t="shared" si="3"/>
        <v>8</v>
      </c>
      <c r="B47" s="112">
        <f t="shared" si="4"/>
        <v>3.6</v>
      </c>
      <c r="C47" s="96">
        <v>4677</v>
      </c>
      <c r="D47" s="96" cm="1">
        <f t="array" ref="D47">Power2ResistanceMB(D35,D$28)</f>
        <v>4677</v>
      </c>
      <c r="E47" s="96" cm="1">
        <f t="array" ref="E47">Power2ResistanceMB(E35,E$28)</f>
        <v>4677</v>
      </c>
      <c r="F47" s="96" cm="1">
        <f t="array" ref="F47">Power2ResistanceMB(F35,F$28)</f>
        <v>4677</v>
      </c>
      <c r="G47" s="96" cm="1">
        <f t="array" ref="G47">Power2ResistanceMB(G35,G$28)</f>
        <v>4677</v>
      </c>
      <c r="H47" s="96" cm="1">
        <f t="array" ref="H47">Power2ResistanceMB(H35,H$28)</f>
        <v>4677</v>
      </c>
      <c r="I47" s="96" cm="1">
        <f t="array" ref="I47">Power2ResistanceMB(I35,I$28)</f>
        <v>4677</v>
      </c>
      <c r="J47" s="96" cm="1">
        <f t="array" ref="J47">Power2ResistanceMB(J35,J$28)</f>
        <v>4677</v>
      </c>
      <c r="K47" s="96" cm="1">
        <f t="array" ref="K47">Power2ResistanceMB(K35,K$28)</f>
        <v>4677</v>
      </c>
      <c r="L47" s="96" cm="1">
        <f t="array" ref="L47">Power2ResistanceMB(L35,L$28)</f>
        <v>4677</v>
      </c>
      <c r="M47" s="96" cm="1">
        <f t="array" ref="M47">Power2ResistanceMB(M35,M$28)</f>
        <v>4677</v>
      </c>
    </row>
    <row r="48" spans="1:13" x14ac:dyDescent="0.3">
      <c r="A48" s="97">
        <f t="shared" si="3"/>
        <v>11</v>
      </c>
      <c r="B48" s="112">
        <f t="shared" si="4"/>
        <v>4.2</v>
      </c>
      <c r="C48" s="96">
        <v>4677</v>
      </c>
      <c r="D48" s="96" cm="1">
        <f t="array" ref="D48">Power2ResistanceMB(D36,D$28)</f>
        <v>4677</v>
      </c>
      <c r="E48" s="96" cm="1">
        <f t="array" ref="E48">Power2ResistanceMB(E36,E$28)</f>
        <v>4677</v>
      </c>
      <c r="F48" s="96" cm="1">
        <f t="array" ref="F48">Power2ResistanceMB(F36,F$28)</f>
        <v>4677</v>
      </c>
      <c r="G48" s="96" cm="1">
        <f t="array" ref="G48">Power2ResistanceMB(G36,G$28)</f>
        <v>4677</v>
      </c>
      <c r="H48" s="96" cm="1">
        <f t="array" ref="H48">Power2ResistanceMB(H36,H$28)</f>
        <v>4677</v>
      </c>
      <c r="I48" s="96" cm="1">
        <f t="array" ref="I48">Power2ResistanceMB(I36,I$28)</f>
        <v>4677</v>
      </c>
      <c r="J48" s="96" cm="1">
        <f t="array" ref="J48">Power2ResistanceMB(J36,J$28)</f>
        <v>4677</v>
      </c>
      <c r="K48" s="96" cm="1">
        <f t="array" ref="K48">Power2ResistanceMB(K36,K$28)</f>
        <v>4677</v>
      </c>
      <c r="L48" s="96" cm="1">
        <f t="array" ref="L48">Power2ResistanceMB(L36,L$28)</f>
        <v>4677</v>
      </c>
      <c r="M48" s="96" cm="1">
        <f t="array" ref="M48">Power2ResistanceMB(M36,M$28)</f>
        <v>4677</v>
      </c>
    </row>
    <row r="49" spans="1:17" x14ac:dyDescent="0.3">
      <c r="A49" s="97">
        <f t="shared" si="3"/>
        <v>14</v>
      </c>
      <c r="B49" s="112">
        <f t="shared" si="4"/>
        <v>4.8000000000000007</v>
      </c>
      <c r="C49" s="96">
        <v>4677</v>
      </c>
      <c r="D49" s="96" cm="1">
        <f t="array" ref="D49">Power2ResistanceMB(D37,D$28)</f>
        <v>4677</v>
      </c>
      <c r="E49" s="96" cm="1">
        <f t="array" ref="E49">Power2ResistanceMB(E37,E$28)</f>
        <v>4677</v>
      </c>
      <c r="F49" s="96" cm="1">
        <f t="array" ref="F49">Power2ResistanceMB(F37,F$28)</f>
        <v>4677</v>
      </c>
      <c r="G49" s="96" cm="1">
        <f t="array" ref="G49">Power2ResistanceMB(G37,G$28)</f>
        <v>4677</v>
      </c>
      <c r="H49" s="96" cm="1">
        <f t="array" ref="H49">Power2ResistanceMB(H37,H$28)</f>
        <v>4677</v>
      </c>
      <c r="I49" s="96" cm="1">
        <f t="array" ref="I49">Power2ResistanceMB(I37,I$28)</f>
        <v>4677</v>
      </c>
      <c r="J49" s="96" cm="1">
        <f t="array" ref="J49">Power2ResistanceMB(J37,J$28)</f>
        <v>4677</v>
      </c>
      <c r="K49" s="96" cm="1">
        <f t="array" ref="K49">Power2ResistanceMB(K37,K$28)</f>
        <v>4677</v>
      </c>
      <c r="L49" s="96" cm="1">
        <f t="array" ref="L49">Power2ResistanceMB(L37,L$28)</f>
        <v>4677</v>
      </c>
      <c r="M49" s="96" cm="1">
        <f t="array" ref="M49">Power2ResistanceMB(M37,M$28)</f>
        <v>4677</v>
      </c>
    </row>
    <row r="50" spans="1:17" x14ac:dyDescent="0.3">
      <c r="A50" s="97">
        <f t="shared" si="3"/>
        <v>17</v>
      </c>
      <c r="B50" s="112">
        <f t="shared" si="4"/>
        <v>5.4</v>
      </c>
      <c r="C50" s="96">
        <v>4677</v>
      </c>
      <c r="D50" s="96" cm="1">
        <f t="array" ref="D50">Power2ResistanceMB(D38,D$28)</f>
        <v>4677</v>
      </c>
      <c r="E50" s="96" cm="1">
        <f t="array" ref="E50">Power2ResistanceMB(E38,E$28)</f>
        <v>4677</v>
      </c>
      <c r="F50" s="96" cm="1">
        <f t="array" ref="F50">Power2ResistanceMB(F38,F$28)</f>
        <v>4677</v>
      </c>
      <c r="G50" s="96" cm="1">
        <f t="array" ref="G50">Power2ResistanceMB(G38,G$28)</f>
        <v>4677</v>
      </c>
      <c r="H50" s="96" cm="1">
        <f t="array" ref="H50">Power2ResistanceMB(H38,H$28)</f>
        <v>4677</v>
      </c>
      <c r="I50" s="96" cm="1">
        <f t="array" ref="I50">Power2ResistanceMB(I38,I$28)</f>
        <v>4677</v>
      </c>
      <c r="J50" s="96" cm="1">
        <f t="array" ref="J50">Power2ResistanceMB(J38,J$28)</f>
        <v>4677</v>
      </c>
      <c r="K50" s="96" cm="1">
        <f t="array" ref="K50">Power2ResistanceMB(K38,K$28)</f>
        <v>4677</v>
      </c>
      <c r="L50" s="96" cm="1">
        <f t="array" ref="L50">Power2ResistanceMB(L38,L$28)</f>
        <v>4677</v>
      </c>
      <c r="M50" s="96" cm="1">
        <f t="array" ref="M50">Power2ResistanceMB(M38,M$28)</f>
        <v>4677</v>
      </c>
    </row>
    <row r="51" spans="1:17" x14ac:dyDescent="0.3">
      <c r="A51" s="97">
        <f t="shared" si="3"/>
        <v>20</v>
      </c>
      <c r="B51" s="112">
        <f t="shared" si="4"/>
        <v>6</v>
      </c>
      <c r="C51" s="96">
        <v>4677</v>
      </c>
      <c r="D51" s="96" cm="1">
        <f t="array" ref="D51">Power2ResistanceMB(D39,D$28)</f>
        <v>4677</v>
      </c>
      <c r="E51" s="96" cm="1">
        <f t="array" ref="E51">Power2ResistanceMB(E39,E$28)</f>
        <v>4677</v>
      </c>
      <c r="F51" s="96" cm="1">
        <f t="array" ref="F51">Power2ResistanceMB(F39,F$28)</f>
        <v>4677</v>
      </c>
      <c r="G51" s="96" cm="1">
        <f t="array" ref="G51">Power2ResistanceMB(G39,G$28)</f>
        <v>4677</v>
      </c>
      <c r="H51" s="96" cm="1">
        <f t="array" ref="H51">Power2ResistanceMB(H39,H$28)</f>
        <v>4677</v>
      </c>
      <c r="I51" s="96" cm="1">
        <f t="array" ref="I51">Power2ResistanceMB(I39,I$28)</f>
        <v>4677</v>
      </c>
      <c r="J51" s="96" cm="1">
        <f t="array" ref="J51">Power2ResistanceMB(J39,J$28)</f>
        <v>4677</v>
      </c>
      <c r="K51" s="96" cm="1">
        <f t="array" ref="K51">Power2ResistanceMB(K39,K$28)</f>
        <v>4677</v>
      </c>
      <c r="L51" s="96" cm="1">
        <f t="array" ref="L51">Power2ResistanceMB(L39,L$28)</f>
        <v>4677</v>
      </c>
      <c r="M51" s="96" cm="1">
        <f t="array" ref="M51">Power2ResistanceMB(M39,M$28)</f>
        <v>4677</v>
      </c>
    </row>
    <row r="52" spans="1:17" x14ac:dyDescent="0.3">
      <c r="B52" s="94"/>
      <c r="C52" s="94"/>
      <c r="D52" s="96"/>
      <c r="E52" s="96"/>
      <c r="F52" s="96"/>
      <c r="G52" s="96"/>
      <c r="H52" s="96"/>
      <c r="I52" s="96"/>
      <c r="J52" s="96"/>
      <c r="K52" s="96"/>
      <c r="L52" s="96"/>
      <c r="M52" s="96"/>
    </row>
    <row r="53" spans="1:17" x14ac:dyDescent="0.3">
      <c r="B53" s="51" t="s">
        <v>144</v>
      </c>
      <c r="C53" s="51"/>
      <c r="D53" s="93" t="s">
        <v>139</v>
      </c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</row>
    <row r="54" spans="1:17" x14ac:dyDescent="0.3">
      <c r="B54" s="51" t="s">
        <v>140</v>
      </c>
      <c r="C54" s="51"/>
      <c r="D54" s="51">
        <v>1039</v>
      </c>
      <c r="E54" s="51">
        <v>1299</v>
      </c>
      <c r="F54" s="51">
        <v>1559</v>
      </c>
      <c r="G54" s="51">
        <v>1819</v>
      </c>
      <c r="H54" s="51">
        <v>2078</v>
      </c>
      <c r="I54" s="51">
        <v>2338</v>
      </c>
      <c r="J54" s="51">
        <v>2598</v>
      </c>
      <c r="K54" s="51">
        <v>2858</v>
      </c>
      <c r="L54" s="51">
        <v>3118</v>
      </c>
      <c r="M54" s="51">
        <v>3378</v>
      </c>
      <c r="N54" s="51">
        <v>3767</v>
      </c>
      <c r="O54" s="51">
        <v>4027</v>
      </c>
      <c r="P54" s="51">
        <v>4287</v>
      </c>
      <c r="Q54" s="51">
        <v>4677</v>
      </c>
    </row>
    <row r="55" spans="1:17" x14ac:dyDescent="0.3">
      <c r="B55" s="51">
        <v>1850</v>
      </c>
      <c r="C55" s="51"/>
      <c r="D55" s="51">
        <v>8</v>
      </c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</row>
    <row r="56" spans="1:17" x14ac:dyDescent="0.3">
      <c r="B56" s="51">
        <v>1900</v>
      </c>
      <c r="C56" s="51"/>
      <c r="D56" s="51">
        <v>10</v>
      </c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</row>
    <row r="57" spans="1:17" x14ac:dyDescent="0.3">
      <c r="B57" s="51">
        <v>1950</v>
      </c>
      <c r="C57" s="51"/>
      <c r="D57" s="51">
        <v>6</v>
      </c>
      <c r="E57" s="51">
        <v>8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</row>
    <row r="58" spans="1:17" x14ac:dyDescent="0.3">
      <c r="B58" s="51">
        <v>2000</v>
      </c>
      <c r="C58" s="51"/>
      <c r="D58" s="51"/>
      <c r="E58" s="51">
        <v>10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</row>
    <row r="59" spans="1:17" x14ac:dyDescent="0.3">
      <c r="B59" s="51">
        <v>2050</v>
      </c>
      <c r="C59" s="51"/>
      <c r="D59" s="51"/>
      <c r="E59" s="51">
        <v>17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</row>
    <row r="60" spans="1:17" x14ac:dyDescent="0.3">
      <c r="B60" s="51">
        <v>2100</v>
      </c>
      <c r="C60" s="51"/>
      <c r="D60" s="51"/>
      <c r="E60" s="51">
        <v>6</v>
      </c>
      <c r="F60" s="51">
        <v>10</v>
      </c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</row>
    <row r="61" spans="1:17" x14ac:dyDescent="0.3">
      <c r="B61" s="51">
        <v>2150</v>
      </c>
      <c r="C61" s="51"/>
      <c r="D61" s="51"/>
      <c r="E61" s="51"/>
      <c r="F61" s="51">
        <v>13</v>
      </c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</row>
    <row r="62" spans="1:17" x14ac:dyDescent="0.3">
      <c r="B62" s="51">
        <v>2200</v>
      </c>
      <c r="C62" s="51"/>
      <c r="D62" s="51"/>
      <c r="E62" s="51"/>
      <c r="F62" s="51">
        <v>29</v>
      </c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</row>
    <row r="63" spans="1:17" x14ac:dyDescent="0.3">
      <c r="B63" s="51">
        <v>2250</v>
      </c>
      <c r="C63" s="51"/>
      <c r="D63" s="51"/>
      <c r="E63" s="51"/>
      <c r="F63" s="51">
        <v>6</v>
      </c>
      <c r="G63" s="51">
        <v>2</v>
      </c>
      <c r="H63" s="51"/>
      <c r="I63" s="51"/>
      <c r="J63" s="51"/>
      <c r="K63" s="51"/>
      <c r="L63" s="51"/>
      <c r="M63" s="51"/>
      <c r="N63" s="51"/>
      <c r="O63" s="51"/>
      <c r="P63" s="51"/>
      <c r="Q63" s="51"/>
    </row>
    <row r="64" spans="1:17" x14ac:dyDescent="0.3">
      <c r="B64" s="51">
        <v>2300</v>
      </c>
      <c r="C64" s="51"/>
      <c r="D64" s="51"/>
      <c r="E64" s="51"/>
      <c r="F64" s="51"/>
      <c r="G64" s="51">
        <v>8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</row>
    <row r="65" spans="2:17" x14ac:dyDescent="0.3">
      <c r="B65" s="51">
        <v>2350</v>
      </c>
      <c r="C65" s="51"/>
      <c r="D65" s="51"/>
      <c r="E65" s="51"/>
      <c r="F65" s="51"/>
      <c r="G65" s="51">
        <v>6</v>
      </c>
      <c r="H65" s="51">
        <v>20</v>
      </c>
      <c r="I65" s="51"/>
      <c r="J65" s="51"/>
      <c r="K65" s="51"/>
      <c r="L65" s="51"/>
      <c r="M65" s="51"/>
      <c r="N65" s="51"/>
      <c r="O65" s="51"/>
      <c r="P65" s="51"/>
      <c r="Q65" s="51"/>
    </row>
    <row r="66" spans="2:17" x14ac:dyDescent="0.3">
      <c r="B66" s="51">
        <v>2400</v>
      </c>
      <c r="C66" s="51"/>
      <c r="D66" s="51"/>
      <c r="E66" s="51"/>
      <c r="F66" s="51"/>
      <c r="G66" s="51"/>
      <c r="H66" s="51">
        <v>16</v>
      </c>
      <c r="I66" s="51"/>
      <c r="J66" s="51"/>
      <c r="K66" s="51"/>
      <c r="L66" s="51"/>
      <c r="M66" s="51"/>
      <c r="N66" s="51"/>
      <c r="O66" s="51"/>
      <c r="P66" s="51"/>
      <c r="Q66" s="51"/>
    </row>
    <row r="67" spans="2:17" x14ac:dyDescent="0.3">
      <c r="B67" s="51">
        <v>2450</v>
      </c>
      <c r="C67" s="51"/>
      <c r="D67" s="51"/>
      <c r="E67" s="51"/>
      <c r="F67" s="51"/>
      <c r="G67" s="51"/>
      <c r="H67" s="51">
        <v>11</v>
      </c>
      <c r="I67" s="51"/>
      <c r="J67" s="51"/>
      <c r="K67" s="51"/>
      <c r="L67" s="51"/>
      <c r="M67" s="51"/>
      <c r="N67" s="51"/>
      <c r="O67" s="51"/>
      <c r="P67" s="51"/>
      <c r="Q67" s="51"/>
    </row>
    <row r="68" spans="2:17" x14ac:dyDescent="0.3">
      <c r="B68" s="51">
        <v>2500</v>
      </c>
      <c r="C68" s="51"/>
      <c r="D68" s="51"/>
      <c r="E68" s="51"/>
      <c r="F68" s="51"/>
      <c r="G68" s="51"/>
      <c r="H68" s="51">
        <v>6</v>
      </c>
      <c r="I68" s="51">
        <v>10</v>
      </c>
      <c r="J68" s="51"/>
      <c r="K68" s="51"/>
      <c r="L68" s="51"/>
      <c r="M68" s="51"/>
      <c r="N68" s="51"/>
      <c r="O68" s="51"/>
      <c r="P68" s="51"/>
      <c r="Q68" s="51"/>
    </row>
    <row r="69" spans="2:17" x14ac:dyDescent="0.3">
      <c r="B69" s="51">
        <v>2550</v>
      </c>
      <c r="C69" s="51"/>
      <c r="D69" s="51"/>
      <c r="E69" s="51"/>
      <c r="F69" s="51"/>
      <c r="G69" s="51"/>
      <c r="H69" s="51"/>
      <c r="I69" s="51">
        <v>17</v>
      </c>
      <c r="J69" s="51"/>
      <c r="K69" s="51"/>
      <c r="L69" s="51"/>
      <c r="M69" s="51"/>
      <c r="N69" s="51"/>
      <c r="O69" s="51"/>
      <c r="P69" s="51"/>
      <c r="Q69" s="51"/>
    </row>
    <row r="70" spans="2:17" x14ac:dyDescent="0.3">
      <c r="B70" s="51">
        <v>2600</v>
      </c>
      <c r="C70" s="51"/>
      <c r="D70" s="51"/>
      <c r="E70" s="51"/>
      <c r="F70" s="51"/>
      <c r="G70" s="51"/>
      <c r="H70" s="51"/>
      <c r="I70" s="51">
        <v>6</v>
      </c>
      <c r="J70" s="51">
        <v>12</v>
      </c>
      <c r="K70" s="51"/>
      <c r="L70" s="51"/>
      <c r="M70" s="51"/>
      <c r="N70" s="51"/>
      <c r="O70" s="51"/>
      <c r="P70" s="51"/>
      <c r="Q70" s="51"/>
    </row>
    <row r="71" spans="2:17" x14ac:dyDescent="0.3">
      <c r="B71" s="51">
        <v>2650</v>
      </c>
      <c r="C71" s="51"/>
      <c r="D71" s="51"/>
      <c r="E71" s="51"/>
      <c r="F71" s="51"/>
      <c r="G71" s="51"/>
      <c r="H71" s="51"/>
      <c r="I71" s="51"/>
      <c r="J71" s="51">
        <v>23</v>
      </c>
      <c r="K71" s="51"/>
      <c r="L71" s="51"/>
      <c r="M71" s="51"/>
      <c r="N71" s="51"/>
      <c r="O71" s="51"/>
      <c r="P71" s="51"/>
      <c r="Q71" s="51"/>
    </row>
    <row r="72" spans="2:17" x14ac:dyDescent="0.3">
      <c r="B72" s="51">
        <v>2700</v>
      </c>
      <c r="C72" s="51"/>
      <c r="D72" s="51"/>
      <c r="E72" s="51"/>
      <c r="F72" s="51"/>
      <c r="G72" s="51"/>
      <c r="H72" s="51"/>
      <c r="I72" s="51"/>
      <c r="J72" s="51">
        <v>16</v>
      </c>
      <c r="K72" s="51"/>
      <c r="L72" s="51"/>
      <c r="M72" s="51"/>
      <c r="N72" s="51"/>
      <c r="O72" s="51"/>
      <c r="P72" s="51"/>
      <c r="Q72" s="51"/>
    </row>
    <row r="73" spans="2:17" x14ac:dyDescent="0.3">
      <c r="B73" s="51">
        <v>2750</v>
      </c>
      <c r="C73" s="51"/>
      <c r="D73" s="51"/>
      <c r="E73" s="51"/>
      <c r="F73" s="51"/>
      <c r="G73" s="51"/>
      <c r="H73" s="51"/>
      <c r="I73" s="51"/>
      <c r="J73" s="51">
        <v>6</v>
      </c>
      <c r="K73" s="51">
        <v>10</v>
      </c>
      <c r="L73" s="51"/>
      <c r="M73" s="51"/>
      <c r="N73" s="51"/>
      <c r="O73" s="51"/>
      <c r="P73" s="51"/>
      <c r="Q73" s="51"/>
    </row>
    <row r="74" spans="2:17" x14ac:dyDescent="0.3">
      <c r="B74" s="51">
        <v>2800</v>
      </c>
      <c r="C74" s="51"/>
      <c r="D74" s="51"/>
      <c r="E74" s="51"/>
      <c r="F74" s="51"/>
      <c r="G74" s="51"/>
      <c r="H74" s="51"/>
      <c r="I74" s="51"/>
      <c r="J74" s="51"/>
      <c r="K74" s="51">
        <v>22</v>
      </c>
      <c r="L74" s="51"/>
      <c r="M74" s="51"/>
      <c r="N74" s="51"/>
      <c r="O74" s="51"/>
      <c r="P74" s="51"/>
      <c r="Q74" s="51"/>
    </row>
    <row r="75" spans="2:17" x14ac:dyDescent="0.3">
      <c r="B75" s="51">
        <v>2850</v>
      </c>
      <c r="C75" s="51"/>
      <c r="D75" s="51"/>
      <c r="E75" s="51"/>
      <c r="F75" s="51"/>
      <c r="G75" s="51"/>
      <c r="H75" s="51"/>
      <c r="I75" s="51"/>
      <c r="J75" s="51"/>
      <c r="K75" s="51">
        <v>13</v>
      </c>
      <c r="L75" s="51"/>
      <c r="M75" s="51"/>
      <c r="N75" s="51"/>
      <c r="O75" s="51"/>
      <c r="P75" s="51"/>
      <c r="Q75" s="51"/>
    </row>
    <row r="76" spans="2:17" x14ac:dyDescent="0.3">
      <c r="B76" s="51">
        <v>2900</v>
      </c>
      <c r="C76" s="51"/>
      <c r="D76" s="51"/>
      <c r="E76" s="51"/>
      <c r="F76" s="51"/>
      <c r="G76" s="51"/>
      <c r="H76" s="51"/>
      <c r="I76" s="51"/>
      <c r="J76" s="51"/>
      <c r="K76" s="51">
        <v>14</v>
      </c>
      <c r="L76" s="51"/>
      <c r="M76" s="51"/>
      <c r="N76" s="51"/>
      <c r="O76" s="51"/>
      <c r="P76" s="51"/>
      <c r="Q76" s="51"/>
    </row>
    <row r="77" spans="2:17" x14ac:dyDescent="0.3">
      <c r="B77" s="51">
        <v>2950</v>
      </c>
      <c r="C77" s="51"/>
      <c r="D77" s="51"/>
      <c r="E77" s="51"/>
      <c r="F77" s="51"/>
      <c r="G77" s="51"/>
      <c r="H77" s="51"/>
      <c r="I77" s="51"/>
      <c r="J77" s="51"/>
      <c r="K77" s="51">
        <v>26</v>
      </c>
      <c r="L77" s="51"/>
      <c r="M77" s="51"/>
      <c r="N77" s="51"/>
      <c r="O77" s="51"/>
      <c r="P77" s="51"/>
      <c r="Q77" s="51"/>
    </row>
    <row r="78" spans="2:17" x14ac:dyDescent="0.3">
      <c r="B78" s="51">
        <v>3000</v>
      </c>
      <c r="C78" s="51"/>
      <c r="D78" s="51"/>
      <c r="E78" s="51"/>
      <c r="F78" s="51"/>
      <c r="G78" s="51"/>
      <c r="H78" s="51"/>
      <c r="I78" s="51"/>
      <c r="J78" s="51"/>
      <c r="K78" s="51">
        <v>6</v>
      </c>
      <c r="L78" s="51">
        <v>8</v>
      </c>
      <c r="M78" s="51"/>
      <c r="N78" s="51"/>
      <c r="O78" s="51"/>
      <c r="P78" s="51"/>
      <c r="Q78" s="51"/>
    </row>
    <row r="79" spans="2:17" x14ac:dyDescent="0.3">
      <c r="B79" s="51">
        <v>3050</v>
      </c>
      <c r="C79" s="51"/>
      <c r="D79" s="51"/>
      <c r="E79" s="51"/>
      <c r="F79" s="51"/>
      <c r="G79" s="51"/>
      <c r="H79" s="51"/>
      <c r="I79" s="51"/>
      <c r="J79" s="51"/>
      <c r="K79" s="51"/>
      <c r="L79" s="51">
        <v>14</v>
      </c>
      <c r="M79" s="51"/>
      <c r="N79" s="51"/>
      <c r="O79" s="51"/>
      <c r="P79" s="51"/>
      <c r="Q79" s="51"/>
    </row>
    <row r="80" spans="2:17" x14ac:dyDescent="0.3">
      <c r="B80" s="51">
        <v>3100</v>
      </c>
      <c r="C80" s="51"/>
      <c r="D80" s="51"/>
      <c r="E80" s="51"/>
      <c r="F80" s="51"/>
      <c r="G80" s="51"/>
      <c r="H80" s="51"/>
      <c r="I80" s="51"/>
      <c r="J80" s="51"/>
      <c r="K80" s="51"/>
      <c r="L80" s="51">
        <v>26</v>
      </c>
      <c r="M80" s="51"/>
      <c r="N80" s="51"/>
      <c r="O80" s="51"/>
      <c r="P80" s="51"/>
      <c r="Q80" s="51"/>
    </row>
    <row r="81" spans="2:17" x14ac:dyDescent="0.3">
      <c r="B81" s="51">
        <v>3150</v>
      </c>
      <c r="C81" s="51"/>
      <c r="D81" s="51"/>
      <c r="E81" s="51"/>
      <c r="F81" s="51"/>
      <c r="G81" s="51"/>
      <c r="H81" s="51"/>
      <c r="I81" s="51"/>
      <c r="J81" s="51"/>
      <c r="K81" s="51"/>
      <c r="L81" s="51">
        <v>6</v>
      </c>
      <c r="M81" s="51">
        <v>24</v>
      </c>
      <c r="N81" s="51"/>
      <c r="O81" s="51"/>
      <c r="P81" s="51"/>
      <c r="Q81" s="51"/>
    </row>
    <row r="82" spans="2:17" x14ac:dyDescent="0.3">
      <c r="B82" s="51">
        <v>3200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>
        <v>36</v>
      </c>
      <c r="N82" s="51"/>
      <c r="O82" s="51"/>
      <c r="P82" s="51"/>
      <c r="Q82" s="51"/>
    </row>
    <row r="83" spans="2:17" x14ac:dyDescent="0.3">
      <c r="B83" s="51">
        <v>3250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>
        <v>6</v>
      </c>
      <c r="N83" s="51">
        <v>17</v>
      </c>
      <c r="O83" s="51"/>
      <c r="P83" s="51"/>
      <c r="Q83" s="51"/>
    </row>
    <row r="84" spans="2:17" x14ac:dyDescent="0.3">
      <c r="B84" s="51">
        <v>3300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>
        <v>17</v>
      </c>
      <c r="O84" s="51"/>
      <c r="P84" s="51"/>
      <c r="Q84" s="51"/>
    </row>
    <row r="85" spans="2:17" x14ac:dyDescent="0.3">
      <c r="B85" s="51">
        <v>3350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>
        <v>25</v>
      </c>
      <c r="O85" s="51"/>
      <c r="P85" s="51"/>
      <c r="Q85" s="51"/>
    </row>
    <row r="86" spans="2:17" x14ac:dyDescent="0.3">
      <c r="B86" s="51">
        <v>3400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>
        <v>6</v>
      </c>
      <c r="O86" s="51">
        <v>16</v>
      </c>
      <c r="P86" s="51"/>
      <c r="Q86" s="51"/>
    </row>
    <row r="87" spans="2:17" x14ac:dyDescent="0.3">
      <c r="B87" s="51">
        <v>3450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>
        <v>17</v>
      </c>
      <c r="P87" s="51"/>
      <c r="Q87" s="51"/>
    </row>
    <row r="88" spans="2:17" x14ac:dyDescent="0.3">
      <c r="B88" s="51">
        <v>3500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>
        <v>18</v>
      </c>
      <c r="P88" s="51"/>
      <c r="Q88" s="51"/>
    </row>
    <row r="89" spans="2:17" x14ac:dyDescent="0.3">
      <c r="B89" s="51">
        <v>3550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>
        <v>6</v>
      </c>
      <c r="P89" s="51">
        <v>14</v>
      </c>
      <c r="Q89" s="51"/>
    </row>
    <row r="90" spans="2:17" x14ac:dyDescent="0.3">
      <c r="B90" s="51">
        <v>3600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>
        <v>30</v>
      </c>
      <c r="Q90" s="51"/>
    </row>
    <row r="91" spans="2:17" x14ac:dyDescent="0.3">
      <c r="B91" s="51">
        <v>3650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>
        <v>6</v>
      </c>
      <c r="Q91" s="51">
        <v>3</v>
      </c>
    </row>
    <row r="92" spans="2:17" x14ac:dyDescent="0.3">
      <c r="B92" s="51">
        <v>3700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>
        <v>19</v>
      </c>
    </row>
    <row r="93" spans="2:17" x14ac:dyDescent="0.3">
      <c r="B93" s="51">
        <v>3750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>
        <v>15</v>
      </c>
    </row>
    <row r="94" spans="2:17" x14ac:dyDescent="0.3">
      <c r="B94" s="51">
        <v>3800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>
        <v>16</v>
      </c>
    </row>
    <row r="96" spans="2:17" x14ac:dyDescent="0.3">
      <c r="B96" t="s">
        <v>141</v>
      </c>
    </row>
    <row r="97" spans="2:4" x14ac:dyDescent="0.3">
      <c r="B97" t="s">
        <v>142</v>
      </c>
    </row>
    <row r="98" spans="2:4" x14ac:dyDescent="0.3">
      <c r="B98" t="s">
        <v>143</v>
      </c>
    </row>
    <row r="100" spans="2:4" x14ac:dyDescent="0.3">
      <c r="B100" t="s">
        <v>145</v>
      </c>
      <c r="D100" t="s">
        <v>147</v>
      </c>
    </row>
    <row r="101" spans="2:4" x14ac:dyDescent="0.3">
      <c r="B101" t="s">
        <v>146</v>
      </c>
      <c r="D101" t="s">
        <v>148</v>
      </c>
    </row>
  </sheetData>
  <conditionalFormatting sqref="D41:M51">
    <cfRule type="expression" dxfId="3" priority="5">
      <formula>AND(D41=$Q$3,D41=C41,D41=D40)</formula>
    </cfRule>
    <cfRule type="expression" dxfId="2" priority="6">
      <formula>AND(D41=$D$3,D41=E41,D41=D42)</formula>
    </cfRule>
  </conditionalFormatting>
  <conditionalFormatting sqref="C41:C51">
    <cfRule type="expression" dxfId="1" priority="1">
      <formula>AND(C41=$Q$3,C41=A41,C41=C40)</formula>
    </cfRule>
    <cfRule type="expression" dxfId="0" priority="2">
      <formula>AND(C41=$D$3,C41=D41,C41=C42)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Powercurve</vt:lpstr>
      <vt:lpstr>Speed To Power</vt:lpstr>
      <vt:lpstr>iMagic T1901+T1902</vt:lpstr>
      <vt:lpstr>iFlow T1901+T1932</vt:lpstr>
      <vt:lpstr>Res2Pwr</vt:lpstr>
      <vt:lpstr>Spd2Pwr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2020-12-08T07:03:32Z</dcterms:modified>
</cp:coreProperties>
</file>