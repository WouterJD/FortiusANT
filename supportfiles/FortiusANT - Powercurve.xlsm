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hub\WouterJD\FortiusANT\supportfiles\"/>
    </mc:Choice>
  </mc:AlternateContent>
  <xr:revisionPtr revIDLastSave="0" documentId="13_ncr:1_{0F1EEFEC-E665-4BAF-A24F-73556AA455CB}" xr6:coauthVersionLast="45" xr6:coauthVersionMax="45" xr10:uidLastSave="{00000000-0000-0000-0000-000000000000}"/>
  <bookViews>
    <workbookView xWindow="2352" yWindow="-108" windowWidth="20796" windowHeight="13176" activeTab="3" xr2:uid="{3CA8E08F-96E3-47C9-97C1-177906E9D84F}"/>
  </bookViews>
  <sheets>
    <sheet name="Powercurve" sheetId="4" r:id="rId1"/>
    <sheet name="Speed To Power" sheetId="5" r:id="rId2"/>
    <sheet name="iMagic T1901+T1902" sheetId="6" r:id="rId3"/>
    <sheet name="iFlow T1901+T1932" sheetId="7" r:id="rId4"/>
  </sheets>
  <functionGroups builtInGroupCount="19"/>
  <externalReferences>
    <externalReference r:id="rId5"/>
  </externalReferences>
  <definedNames>
    <definedName name="CassetteOnlyData">Powercurve!$E$41:$H$41</definedName>
    <definedName name="dDn" localSheetId="1">[1]Grade2Resistance!$D$22</definedName>
    <definedName name="dDn">Powercurve!$D$23</definedName>
    <definedName name="dUp" localSheetId="1">[1]Grade2Resistance!$D$14</definedName>
    <definedName name="dUp">Powercurve!$D$15</definedName>
    <definedName name="fL" localSheetId="1">[1]Grade2Resistance!$D$6</definedName>
    <definedName name="fL">Powercurve!$D$7</definedName>
    <definedName name="fS" localSheetId="1">[1]Grade2Resistance!$D$7</definedName>
    <definedName name="fS">Powercurve!$D$8</definedName>
    <definedName name="ftp" localSheetId="1">[1]Grade2Resistance!$D$2</definedName>
    <definedName name="ftp">Powercurve!$D$3</definedName>
    <definedName name="ftp_Dn" localSheetId="1">[1]Grade2Resistance!$D$3</definedName>
    <definedName name="ftp_Dn">Powercurve!$D$4</definedName>
    <definedName name="ftp_Up" localSheetId="1">[1]Grade2Resistance!$D$4</definedName>
    <definedName name="ftp_Up">Powercurve!$D$5</definedName>
    <definedName name="FullGearData">Powercurve!$E$42:$H$42</definedName>
    <definedName name="gradeDn" localSheetId="1">[1]Grade2Resistance!$D$19</definedName>
    <definedName name="gradeDn">Powercurve!$D$20</definedName>
    <definedName name="gradeUp" localSheetId="1">[1]Grade2Resistance!$D$11</definedName>
    <definedName name="gradeUp">Powercurve!$D$12</definedName>
    <definedName name="P_Dn" localSheetId="1">[1]Grade2Resistance!$D$24</definedName>
    <definedName name="P_Dn">Powercurve!$D$25</definedName>
    <definedName name="P_Up" localSheetId="1">[1]Grade2Resistance!$D$16</definedName>
    <definedName name="P_Up">Powercurve!$D$17</definedName>
    <definedName name="_xlnm.Print_Area" localSheetId="1">'Speed To Power'!$B$16:$U$37</definedName>
    <definedName name="R_Dn" localSheetId="1">[1]Grade2Resistance!$D$25</definedName>
    <definedName name="R_Dn">Powercurve!$D$26</definedName>
    <definedName name="R_Up" localSheetId="1">[1]Grade2Resistance!$D$17</definedName>
    <definedName name="R_Up">Powercurve!$D$18</definedName>
    <definedName name="rDn" localSheetId="1">[1]Grade2Resistance!$D$21</definedName>
    <definedName name="rDn">Powercurve!$D$22</definedName>
    <definedName name="rL" localSheetId="1">[1]Grade2Resistance!$D$8</definedName>
    <definedName name="rL">Powercurve!$D$9</definedName>
    <definedName name="rpmDn" localSheetId="1">[1]Grade2Resistance!$D$20</definedName>
    <definedName name="rpmDn">Powercurve!$D$21</definedName>
    <definedName name="rpmUp" localSheetId="1">[1]Grade2Resistance!$D$12</definedName>
    <definedName name="rpmUp">Powercurve!$D$13</definedName>
    <definedName name="rS" localSheetId="1">[1]Grade2Resistance!$D$9</definedName>
    <definedName name="rS">Powercurve!$D$10</definedName>
    <definedName name="rUp" localSheetId="1">[1]Grade2Resistance!$D$13</definedName>
    <definedName name="rUp">Powercurve!$D$14</definedName>
    <definedName name="SingleSpeedData">Powercurve!$E$40:$H$40</definedName>
    <definedName name="tyre" localSheetId="1">[1]Grade2Resistance!$D$5</definedName>
    <definedName name="tyre">Powercurve!$D$6</definedName>
    <definedName name="wDn" localSheetId="1">[1]Grade2Resistance!$D$23</definedName>
    <definedName name="wDn">Powercurve!$D$24</definedName>
    <definedName name="wUp" localSheetId="1">[1]Grade2Resistance!$D$15</definedName>
    <definedName name="wUp">Powercurve!$D$16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8" i="7" l="1"/>
  <c r="B47" i="7"/>
  <c r="B46" i="7"/>
  <c r="B45" i="7"/>
  <c r="B44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E29" i="7"/>
  <c r="E23" i="7" s="1"/>
  <c r="D29" i="7"/>
  <c r="D23" i="7" s="1"/>
  <c r="C29" i="7"/>
  <c r="F27" i="7"/>
  <c r="E27" i="7"/>
  <c r="D27" i="7"/>
  <c r="D28" i="7" s="1"/>
  <c r="C27" i="7"/>
  <c r="C28" i="7" s="1"/>
  <c r="E26" i="7"/>
  <c r="C23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6" i="7" s="1"/>
  <c r="C20" i="7"/>
  <c r="C26" i="7" s="1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L15" i="7" a="1"/>
  <c r="J14" i="7" a="1"/>
  <c r="P13" i="7" a="1"/>
  <c r="H13" i="7" a="1"/>
  <c r="O13" i="7" a="1"/>
  <c r="F13" i="7" a="1"/>
  <c r="E17" i="7" a="1"/>
  <c r="O14" i="7" a="1"/>
  <c r="P17" i="7" a="1"/>
  <c r="L17" i="7" a="1"/>
  <c r="H17" i="7" a="1"/>
  <c r="D17" i="7" a="1"/>
  <c r="N16" i="7" a="1"/>
  <c r="J16" i="7" a="1"/>
  <c r="F16" i="7" a="1"/>
  <c r="P15" i="7" a="1"/>
  <c r="H15" i="7" a="1"/>
  <c r="D15" i="7" a="1"/>
  <c r="N14" i="7" a="1"/>
  <c r="F14" i="7" a="1"/>
  <c r="L13" i="7" a="1"/>
  <c r="D13" i="7" a="1"/>
  <c r="K13" i="7" a="1"/>
  <c r="J13" i="7" a="1"/>
  <c r="G16" i="7" a="1"/>
  <c r="E15" i="7" a="1"/>
  <c r="I13" i="7" a="1"/>
  <c r="K17" i="7" a="1"/>
  <c r="M16" i="7" a="1"/>
  <c r="E16" i="7" a="1"/>
  <c r="K15" i="7" a="1"/>
  <c r="C15" i="7" a="1"/>
  <c r="E14" i="7" a="1"/>
  <c r="G13" i="7" a="1"/>
  <c r="N13" i="7" a="1"/>
  <c r="K16" i="7" a="1"/>
  <c r="C14" i="7" a="1"/>
  <c r="O17" i="7" a="1"/>
  <c r="G17" i="7" a="1"/>
  <c r="C17" i="7" a="1"/>
  <c r="I16" i="7" a="1"/>
  <c r="O15" i="7" a="1"/>
  <c r="G15" i="7" a="1"/>
  <c r="M14" i="7" a="1"/>
  <c r="I14" i="7" a="1"/>
  <c r="C13" i="7" a="1"/>
  <c r="I17" i="7" a="1"/>
  <c r="I15" i="7" a="1"/>
  <c r="E13" i="7" a="1"/>
  <c r="F17" i="7" a="1"/>
  <c r="J15" i="7" a="1"/>
  <c r="L14" i="7" a="1"/>
  <c r="D14" i="7" a="1"/>
  <c r="M15" i="7" a="1"/>
  <c r="K14" i="7" a="1"/>
  <c r="N17" i="7" a="1"/>
  <c r="J17" i="7" a="1"/>
  <c r="P16" i="7" a="1"/>
  <c r="L16" i="7" a="1"/>
  <c r="H16" i="7" a="1"/>
  <c r="D16" i="7" a="1"/>
  <c r="N15" i="7" a="1"/>
  <c r="F15" i="7" a="1"/>
  <c r="P14" i="7" a="1"/>
  <c r="H14" i="7" a="1"/>
  <c r="O16" i="7" a="1"/>
  <c r="M13" i="7" a="1"/>
  <c r="M17" i="7" a="1"/>
  <c r="C16" i="7" a="1"/>
  <c r="G14" i="7" a="1"/>
  <c r="L60" i="7" a="1"/>
  <c r="L41" i="7" a="1"/>
  <c r="H40" i="7" a="1"/>
  <c r="P38" i="7" a="1"/>
  <c r="G62" i="7" a="1"/>
  <c r="J61" i="7" a="1"/>
  <c r="E60" i="7" a="1"/>
  <c r="G59" i="7" a="1"/>
  <c r="J42" i="7" a="1"/>
  <c r="E41" i="7" a="1"/>
  <c r="N39" i="7" a="1"/>
  <c r="P41" i="7" a="1"/>
  <c r="L40" i="7" a="1"/>
  <c r="N38" i="7" a="1"/>
  <c r="E63" i="7" a="1"/>
  <c r="M40" i="7" a="1"/>
  <c r="O38" i="7" a="1"/>
  <c r="M39" i="7" a="1"/>
  <c r="P63" i="7" a="1"/>
  <c r="I63" i="7" a="1"/>
  <c r="D63" i="7" a="1"/>
  <c r="L62" i="7" a="1"/>
  <c r="O61" i="7" a="1"/>
  <c r="I61" i="7" a="1"/>
  <c r="C61" i="7" a="1"/>
  <c r="J60" i="7" a="1"/>
  <c r="D60" i="7" a="1"/>
  <c r="F59" i="7" a="1"/>
  <c r="I42" i="7" a="1"/>
  <c r="G40" i="7" a="1"/>
  <c r="G38" i="7" a="1"/>
  <c r="O63" i="7" a="1"/>
  <c r="C63" i="7" a="1"/>
  <c r="K62" i="7" a="1"/>
  <c r="F62" i="7" a="1"/>
  <c r="N61" i="7" a="1"/>
  <c r="H61" i="7" a="1"/>
  <c r="P60" i="7" a="1"/>
  <c r="K59" i="7" a="1"/>
  <c r="E59" i="7" a="1"/>
  <c r="N42" i="7" a="1"/>
  <c r="H42" i="7" a="1"/>
  <c r="O41" i="7" a="1"/>
  <c r="D41" i="7" a="1"/>
  <c r="F40" i="7" a="1"/>
  <c r="F39" i="7" a="1"/>
  <c r="M38" i="7" a="1"/>
  <c r="F38" i="7" a="1"/>
  <c r="H63" i="7" a="1"/>
  <c r="P62" i="7" a="1"/>
  <c r="G61" i="7" a="1"/>
  <c r="C60" i="7" a="1"/>
  <c r="J59" i="7" a="1"/>
  <c r="D59" i="7" a="1"/>
  <c r="I41" i="7" a="1"/>
  <c r="K40" i="7" a="1"/>
  <c r="L39" i="7" a="1"/>
  <c r="E38" i="7" a="1"/>
  <c r="M63" i="7" a="1"/>
  <c r="M61" i="7" a="1"/>
  <c r="H60" i="7" a="1"/>
  <c r="L42" i="7" a="1"/>
  <c r="K39" i="7" a="1"/>
  <c r="D38" i="7" a="1"/>
  <c r="H41" i="7" a="1"/>
  <c r="C40" i="7" a="1"/>
  <c r="N63" i="7" a="1"/>
  <c r="I60" i="7" a="1"/>
  <c r="M42" i="7" a="1"/>
  <c r="G42" i="7" a="1"/>
  <c r="N41" i="7" a="1"/>
  <c r="C41" i="7" a="1"/>
  <c r="E40" i="7" a="1"/>
  <c r="L38" i="7" a="1"/>
  <c r="J62" i="7" a="1"/>
  <c r="E62" i="7" a="1"/>
  <c r="O60" i="7" a="1"/>
  <c r="P59" i="7" a="1"/>
  <c r="C59" i="7" a="1"/>
  <c r="F42" i="7" a="1"/>
  <c r="D40" i="7" a="1"/>
  <c r="K38" i="7" a="1"/>
  <c r="E42" i="7" a="1"/>
  <c r="J40" i="7" a="1"/>
  <c r="J38" i="7" a="1"/>
  <c r="F61" i="7" a="1"/>
  <c r="P40" i="7" a="1"/>
  <c r="E39" i="7" a="1"/>
  <c r="O40" i="7" a="1"/>
  <c r="D39" i="7" a="1"/>
  <c r="L63" i="7" a="1"/>
  <c r="G63" i="7" a="1"/>
  <c r="O62" i="7" a="1"/>
  <c r="I62" i="7" a="1"/>
  <c r="D62" i="7" a="1"/>
  <c r="E61" i="7" a="1"/>
  <c r="N60" i="7" a="1"/>
  <c r="G60" i="7" a="1"/>
  <c r="O59" i="7" a="1"/>
  <c r="I59" i="7" a="1"/>
  <c r="M41" i="7" a="1"/>
  <c r="J39" i="7" a="1"/>
  <c r="K63" i="7" a="1"/>
  <c r="F63" i="7" a="1"/>
  <c r="N62" i="7" a="1"/>
  <c r="H62" i="7" a="1"/>
  <c r="C62" i="7" a="1"/>
  <c r="L61" i="7" a="1"/>
  <c r="M60" i="7" a="1"/>
  <c r="N59" i="7" a="1"/>
  <c r="P42" i="7" a="1"/>
  <c r="K42" i="7" a="1"/>
  <c r="D42" i="7" a="1"/>
  <c r="G41" i="7" a="1"/>
  <c r="I40" i="7" a="1"/>
  <c r="P39" i="7" a="1"/>
  <c r="C39" i="7" a="1"/>
  <c r="I38" i="7" a="1"/>
  <c r="C38" i="7" a="1"/>
  <c r="J63" i="7" a="1"/>
  <c r="P61" i="7" a="1"/>
  <c r="K61" i="7" a="1"/>
  <c r="D61" i="7" a="1"/>
  <c r="F60" i="7" a="1"/>
  <c r="M59" i="7" a="1"/>
  <c r="H59" i="7" a="1"/>
  <c r="C42" i="7" a="1"/>
  <c r="F41" i="7" a="1"/>
  <c r="N40" i="7" a="1"/>
  <c r="O39" i="7" a="1"/>
  <c r="I39" i="7" a="1"/>
  <c r="H38" i="7" a="1"/>
  <c r="M62" i="7" a="1"/>
  <c r="K60" i="7" a="1"/>
  <c r="L59" i="7" a="1"/>
  <c r="O42" i="7" a="1"/>
  <c r="K41" i="7" a="1"/>
  <c r="H39" i="7" a="1"/>
  <c r="J41" i="7" a="1"/>
  <c r="G39" i="7" a="1"/>
  <c r="G14" i="7" l="1"/>
  <c r="C16" i="7"/>
  <c r="M17" i="7"/>
  <c r="M13" i="7"/>
  <c r="O16" i="7"/>
  <c r="H14" i="7"/>
  <c r="P14" i="7"/>
  <c r="F15" i="7"/>
  <c r="N15" i="7"/>
  <c r="D16" i="7"/>
  <c r="H16" i="7"/>
  <c r="L16" i="7"/>
  <c r="P16" i="7"/>
  <c r="J17" i="7"/>
  <c r="N17" i="7"/>
  <c r="K14" i="7"/>
  <c r="M15" i="7"/>
  <c r="D14" i="7"/>
  <c r="L14" i="7"/>
  <c r="J15" i="7"/>
  <c r="F17" i="7"/>
  <c r="E13" i="7"/>
  <c r="I15" i="7"/>
  <c r="I17" i="7"/>
  <c r="C13" i="7"/>
  <c r="I14" i="7"/>
  <c r="M14" i="7"/>
  <c r="G15" i="7"/>
  <c r="O15" i="7"/>
  <c r="I16" i="7"/>
  <c r="C17" i="7"/>
  <c r="G17" i="7"/>
  <c r="O17" i="7"/>
  <c r="C14" i="7"/>
  <c r="K16" i="7"/>
  <c r="N13" i="7"/>
  <c r="G13" i="7"/>
  <c r="E14" i="7"/>
  <c r="C15" i="7"/>
  <c r="K15" i="7"/>
  <c r="E16" i="7"/>
  <c r="M16" i="7"/>
  <c r="K17" i="7"/>
  <c r="I13" i="7"/>
  <c r="E15" i="7"/>
  <c r="G16" i="7"/>
  <c r="J13" i="7"/>
  <c r="K13" i="7"/>
  <c r="D13" i="7"/>
  <c r="L13" i="7"/>
  <c r="F14" i="7"/>
  <c r="N14" i="7"/>
  <c r="D15" i="7"/>
  <c r="H15" i="7"/>
  <c r="P15" i="7"/>
  <c r="F16" i="7"/>
  <c r="J16" i="7"/>
  <c r="N16" i="7"/>
  <c r="D17" i="7"/>
  <c r="H17" i="7"/>
  <c r="L17" i="7"/>
  <c r="P17" i="7"/>
  <c r="O14" i="7"/>
  <c r="E17" i="7"/>
  <c r="F13" i="7"/>
  <c r="O13" i="7"/>
  <c r="H13" i="7"/>
  <c r="P13" i="7"/>
  <c r="J14" i="7"/>
  <c r="L15" i="7"/>
  <c r="G39" i="7"/>
  <c r="J41" i="7"/>
  <c r="H39" i="7"/>
  <c r="K41" i="7"/>
  <c r="O42" i="7"/>
  <c r="L59" i="7"/>
  <c r="K60" i="7"/>
  <c r="M62" i="7"/>
  <c r="H38" i="7"/>
  <c r="I39" i="7"/>
  <c r="O39" i="7"/>
  <c r="N40" i="7"/>
  <c r="F41" i="7"/>
  <c r="C42" i="7"/>
  <c r="H59" i="7"/>
  <c r="M59" i="7"/>
  <c r="F60" i="7"/>
  <c r="D61" i="7"/>
  <c r="K61" i="7"/>
  <c r="P61" i="7"/>
  <c r="J63" i="7"/>
  <c r="C38" i="7"/>
  <c r="I38" i="7"/>
  <c r="C39" i="7"/>
  <c r="P39" i="7"/>
  <c r="I40" i="7"/>
  <c r="G41" i="7"/>
  <c r="D42" i="7"/>
  <c r="K42" i="7"/>
  <c r="P42" i="7"/>
  <c r="N59" i="7"/>
  <c r="M60" i="7"/>
  <c r="L61" i="7"/>
  <c r="C62" i="7"/>
  <c r="H62" i="7"/>
  <c r="N62" i="7"/>
  <c r="F63" i="7"/>
  <c r="K63" i="7"/>
  <c r="J39" i="7"/>
  <c r="M41" i="7"/>
  <c r="I59" i="7"/>
  <c r="O59" i="7"/>
  <c r="G60" i="7"/>
  <c r="N60" i="7"/>
  <c r="E61" i="7"/>
  <c r="D62" i="7"/>
  <c r="I62" i="7"/>
  <c r="O62" i="7"/>
  <c r="G63" i="7"/>
  <c r="L63" i="7"/>
  <c r="D39" i="7"/>
  <c r="O40" i="7"/>
  <c r="E39" i="7"/>
  <c r="P40" i="7"/>
  <c r="F61" i="7"/>
  <c r="J38" i="7"/>
  <c r="J44" i="7" s="1"/>
  <c r="J40" i="7"/>
  <c r="E42" i="7"/>
  <c r="K38" i="7"/>
  <c r="D40" i="7"/>
  <c r="F42" i="7"/>
  <c r="C59" i="7"/>
  <c r="P59" i="7"/>
  <c r="O60" i="7"/>
  <c r="E62" i="7"/>
  <c r="J62" i="7"/>
  <c r="L38" i="7"/>
  <c r="E40" i="7"/>
  <c r="C41" i="7"/>
  <c r="N41" i="7"/>
  <c r="G42" i="7"/>
  <c r="M42" i="7"/>
  <c r="I60" i="7"/>
  <c r="N63" i="7"/>
  <c r="C40" i="7"/>
  <c r="H41" i="7"/>
  <c r="D38" i="7"/>
  <c r="K39" i="7"/>
  <c r="L42" i="7"/>
  <c r="H60" i="7"/>
  <c r="M61" i="7"/>
  <c r="M63" i="7"/>
  <c r="E38" i="7"/>
  <c r="L39" i="7"/>
  <c r="K40" i="7"/>
  <c r="I41" i="7"/>
  <c r="D59" i="7"/>
  <c r="J59" i="7"/>
  <c r="C60" i="7"/>
  <c r="G61" i="7"/>
  <c r="P62" i="7"/>
  <c r="H63" i="7"/>
  <c r="F38" i="7"/>
  <c r="M38" i="7"/>
  <c r="F39" i="7"/>
  <c r="F40" i="7"/>
  <c r="F46" i="7" s="1"/>
  <c r="D41" i="7"/>
  <c r="O41" i="7"/>
  <c r="H42" i="7"/>
  <c r="N42" i="7"/>
  <c r="E59" i="7"/>
  <c r="K59" i="7"/>
  <c r="P60" i="7"/>
  <c r="H61" i="7"/>
  <c r="N61" i="7"/>
  <c r="F62" i="7"/>
  <c r="K62" i="7"/>
  <c r="C63" i="7"/>
  <c r="O63" i="7"/>
  <c r="G38" i="7"/>
  <c r="G40" i="7"/>
  <c r="I42" i="7"/>
  <c r="F59" i="7"/>
  <c r="D60" i="7"/>
  <c r="J60" i="7"/>
  <c r="C61" i="7"/>
  <c r="I61" i="7"/>
  <c r="O61" i="7"/>
  <c r="L62" i="7"/>
  <c r="D63" i="7"/>
  <c r="I63" i="7"/>
  <c r="P63" i="7"/>
  <c r="M39" i="7"/>
  <c r="O38" i="7"/>
  <c r="M40" i="7"/>
  <c r="E63" i="7"/>
  <c r="N38" i="7"/>
  <c r="L40" i="7"/>
  <c r="L46" i="7" s="1"/>
  <c r="P41" i="7"/>
  <c r="N39" i="7"/>
  <c r="E41" i="7"/>
  <c r="J42" i="7"/>
  <c r="G59" i="7"/>
  <c r="E60" i="7"/>
  <c r="J61" i="7"/>
  <c r="G62" i="7"/>
  <c r="P38" i="7"/>
  <c r="H40" i="7"/>
  <c r="L41" i="7"/>
  <c r="L60" i="7"/>
  <c r="N47" i="7"/>
  <c r="P48" i="7"/>
  <c r="D46" i="7"/>
  <c r="F47" i="7"/>
  <c r="H48" i="7"/>
  <c r="E28" i="7"/>
  <c r="C45" i="7"/>
  <c r="F26" i="6"/>
  <c r="E26" i="6"/>
  <c r="D26" i="6"/>
  <c r="C26" i="6"/>
  <c r="F25" i="6"/>
  <c r="E25" i="6"/>
  <c r="D25" i="6"/>
  <c r="C25" i="6"/>
  <c r="F24" i="6"/>
  <c r="E24" i="6"/>
  <c r="D24" i="6"/>
  <c r="C24" i="6"/>
  <c r="F23" i="6"/>
  <c r="E23" i="6"/>
  <c r="D23" i="6"/>
  <c r="C23" i="6"/>
  <c r="F22" i="6"/>
  <c r="E22" i="6"/>
  <c r="D22" i="6"/>
  <c r="C22" i="6"/>
  <c r="F21" i="6"/>
  <c r="E21" i="6"/>
  <c r="D21" i="6"/>
  <c r="C21" i="6"/>
  <c r="F20" i="6"/>
  <c r="E20" i="6"/>
  <c r="D20" i="6"/>
  <c r="C20" i="6"/>
  <c r="F19" i="6"/>
  <c r="E19" i="6"/>
  <c r="D19" i="6"/>
  <c r="C19" i="6"/>
  <c r="F18" i="6"/>
  <c r="E18" i="6"/>
  <c r="D18" i="6"/>
  <c r="C18" i="6"/>
  <c r="F17" i="6"/>
  <c r="E17" i="6"/>
  <c r="D17" i="6"/>
  <c r="C17" i="6"/>
  <c r="H16" i="6"/>
  <c r="F16" i="6"/>
  <c r="E16" i="6"/>
  <c r="D16" i="6"/>
  <c r="C16" i="6"/>
  <c r="F15" i="6"/>
  <c r="E15" i="6"/>
  <c r="D15" i="6"/>
  <c r="C15" i="6"/>
  <c r="F14" i="6"/>
  <c r="E14" i="6"/>
  <c r="D14" i="6"/>
  <c r="C14" i="6"/>
  <c r="F13" i="6"/>
  <c r="E13" i="6"/>
  <c r="D13" i="6"/>
  <c r="C13" i="6"/>
  <c r="F12" i="6"/>
  <c r="E12" i="6"/>
  <c r="D12" i="6"/>
  <c r="C12" i="6"/>
  <c r="G11" i="6"/>
  <c r="H6" i="6" s="1"/>
  <c r="F11" i="6"/>
  <c r="E11" i="6"/>
  <c r="D11" i="6"/>
  <c r="C11" i="6"/>
  <c r="F10" i="6"/>
  <c r="E10" i="6"/>
  <c r="D10" i="6"/>
  <c r="C10" i="6"/>
  <c r="F9" i="6"/>
  <c r="E9" i="6"/>
  <c r="D9" i="6"/>
  <c r="C9" i="6"/>
  <c r="F8" i="6"/>
  <c r="E8" i="6"/>
  <c r="D8" i="6"/>
  <c r="C8" i="6"/>
  <c r="F7" i="6"/>
  <c r="E7" i="6"/>
  <c r="D7" i="6"/>
  <c r="C7" i="6"/>
  <c r="G6" i="6"/>
  <c r="F6" i="6"/>
  <c r="E6" i="6"/>
  <c r="D6" i="6"/>
  <c r="C6" i="6"/>
  <c r="G5" i="6"/>
  <c r="F5" i="6"/>
  <c r="E5" i="6"/>
  <c r="D5" i="6"/>
  <c r="C5" i="6"/>
  <c r="G4" i="6"/>
  <c r="F4" i="6"/>
  <c r="E4" i="6"/>
  <c r="D4" i="6"/>
  <c r="C4" i="6"/>
  <c r="G3" i="6"/>
  <c r="F3" i="6"/>
  <c r="E3" i="6"/>
  <c r="D3" i="6"/>
  <c r="C3" i="6"/>
  <c r="G2" i="6"/>
  <c r="F2" i="6"/>
  <c r="E2" i="6"/>
  <c r="D2" i="6"/>
  <c r="C2" i="6"/>
  <c r="K54" i="7" a="1"/>
  <c r="C51" i="7" a="1"/>
  <c r="P55" i="7" a="1"/>
  <c r="O53" i="7" a="1"/>
  <c r="D53" i="7" a="1"/>
  <c r="G55" i="7" a="1"/>
  <c r="I54" i="7" a="1"/>
  <c r="F51" i="7" a="1"/>
  <c r="M53" i="7" a="1"/>
  <c r="N55" i="7" a="1"/>
  <c r="O55" i="7" a="1"/>
  <c r="I51" i="7" a="1"/>
  <c r="J51" i="7" a="1"/>
  <c r="F55" i="7" a="1"/>
  <c r="M55" i="7" a="1"/>
  <c r="M51" i="7" a="1"/>
  <c r="G52" i="7" a="1"/>
  <c r="H51" i="7" a="1"/>
  <c r="C52" i="7" a="1"/>
  <c r="J52" i="7" a="1"/>
  <c r="J53" i="7" a="1"/>
  <c r="F52" i="7" a="1"/>
  <c r="N52" i="7" a="1"/>
  <c r="J54" i="7" a="1"/>
  <c r="I52" i="7" a="1"/>
  <c r="P52" i="7" a="1"/>
  <c r="M54" i="7" a="1"/>
  <c r="E55" i="7" a="1"/>
  <c r="D51" i="7" a="1"/>
  <c r="F53" i="7" a="1"/>
  <c r="G51" i="7" a="1"/>
  <c r="M52" i="7" a="1"/>
  <c r="E54" i="7" a="1"/>
  <c r="N51" i="7" a="1"/>
  <c r="H54" i="7" a="1"/>
  <c r="O52" i="7" a="1"/>
  <c r="I53" i="7" a="1"/>
  <c r="E52" i="7" a="1"/>
  <c r="L51" i="7" a="1"/>
  <c r="K52" i="7" a="1"/>
  <c r="D54" i="7" a="1"/>
  <c r="G53" i="7" a="1"/>
  <c r="J55" i="7" a="1"/>
  <c r="K53" i="7" a="1"/>
  <c r="N53" i="7" a="1"/>
  <c r="G54" i="7" a="1"/>
  <c r="P53" i="7" a="1"/>
  <c r="E53" i="7" a="1"/>
  <c r="L55" i="7" a="1"/>
  <c r="E51" i="7" a="1"/>
  <c r="O54" i="7" a="1"/>
  <c r="I55" i="7" a="1"/>
  <c r="L53" i="7" a="1"/>
  <c r="P51" i="7" a="1"/>
  <c r="F54" i="7" a="1"/>
  <c r="D55" i="7" a="1"/>
  <c r="C54" i="7" a="1"/>
  <c r="C53" i="7" a="1"/>
  <c r="L52" i="7" a="1"/>
  <c r="H55" i="7" a="1"/>
  <c r="P54" i="7" a="1"/>
  <c r="H53" i="7" a="1"/>
  <c r="H52" i="7" a="1"/>
  <c r="C55" i="7" a="1"/>
  <c r="K55" i="7" a="1"/>
  <c r="D52" i="7" a="1"/>
  <c r="K51" i="7" a="1"/>
  <c r="N54" i="7" a="1"/>
  <c r="O51" i="7" a="1"/>
  <c r="L54" i="7" a="1"/>
  <c r="I63" i="6" a="1"/>
  <c r="I61" i="6" a="1"/>
  <c r="G63" i="6" a="1"/>
  <c r="G61" i="6" a="1"/>
  <c r="E59" i="6" a="1"/>
  <c r="E57" i="6" a="1"/>
  <c r="O7" i="5"/>
  <c r="L7" i="5"/>
  <c r="G5" i="5"/>
  <c r="M5" i="5"/>
  <c r="H6" i="5"/>
  <c r="I56" i="6" a="1"/>
  <c r="J7" i="5"/>
  <c r="I62" i="6" a="1"/>
  <c r="K5" i="5"/>
  <c r="I59" i="6" a="1"/>
  <c r="I53" i="6" a="1"/>
  <c r="G59" i="6" a="1"/>
  <c r="G53" i="6" a="1"/>
  <c r="E55" i="6" a="1"/>
  <c r="E50" i="6" a="1"/>
  <c r="M7" i="5"/>
  <c r="O6" i="5"/>
  <c r="N7" i="5"/>
  <c r="L4" i="5"/>
  <c r="J5" i="5"/>
  <c r="G56" i="6" a="1"/>
  <c r="P4" i="5"/>
  <c r="G52" i="6" a="1"/>
  <c r="J6" i="5"/>
  <c r="I64" i="6" a="1"/>
  <c r="I55" i="6" a="1"/>
  <c r="G64" i="6" a="1"/>
  <c r="G55" i="6" a="1"/>
  <c r="E64" i="6" a="1"/>
  <c r="E51" i="6" a="1"/>
  <c r="H4" i="5"/>
  <c r="H5" i="5"/>
  <c r="J4" i="5"/>
  <c r="G6" i="5"/>
  <c r="N6" i="5"/>
  <c r="E56" i="6" a="1"/>
  <c r="O4" i="5"/>
  <c r="I52" i="6" a="1"/>
  <c r="G4" i="5"/>
  <c r="I60" i="6" a="1"/>
  <c r="I51" i="6" a="1"/>
  <c r="G60" i="6" a="1"/>
  <c r="G51" i="6" a="1"/>
  <c r="E60" i="6" a="1"/>
  <c r="E53" i="6" a="1"/>
  <c r="P5" i="5"/>
  <c r="L6" i="5"/>
  <c r="N5" i="5"/>
  <c r="K7" i="5"/>
  <c r="I4" i="5"/>
  <c r="E62" i="6" a="1"/>
  <c r="G57" i="6" a="1"/>
  <c r="M4" i="5"/>
  <c r="I54" i="6" a="1"/>
  <c r="I58" i="6" a="1"/>
  <c r="G58" i="6" a="1"/>
  <c r="G62" i="6" a="1"/>
  <c r="E61" i="6" a="1"/>
  <c r="E54" i="6" a="1"/>
  <c r="I6" i="5"/>
  <c r="I7" i="5"/>
  <c r="I5" i="5"/>
  <c r="M6" i="5"/>
  <c r="P6" i="5"/>
  <c r="G50" i="6" a="1"/>
  <c r="P7" i="5"/>
  <c r="E52" i="6" a="1"/>
  <c r="G7" i="5"/>
  <c r="I57" i="6" a="1"/>
  <c r="I50" i="6" a="1"/>
  <c r="G65" i="6" a="1"/>
  <c r="G54" i="6" a="1"/>
  <c r="E63" i="6" a="1"/>
  <c r="E65" i="6" a="1"/>
  <c r="N4" i="5"/>
  <c r="K6" i="5"/>
  <c r="K4" i="5"/>
  <c r="O5" i="5"/>
  <c r="L5" i="5"/>
  <c r="I65" i="6" a="1"/>
  <c r="H7" i="5"/>
  <c r="E58" i="6" a="1"/>
  <c r="L54" i="7" l="1"/>
  <c r="O51" i="7"/>
  <c r="N54" i="7"/>
  <c r="K51" i="7"/>
  <c r="D52" i="7"/>
  <c r="K55" i="7"/>
  <c r="C55" i="7"/>
  <c r="H52" i="7"/>
  <c r="H53" i="7"/>
  <c r="P54" i="7"/>
  <c r="H55" i="7"/>
  <c r="L52" i="7"/>
  <c r="C53" i="7"/>
  <c r="C54" i="7"/>
  <c r="D55" i="7"/>
  <c r="F54" i="7"/>
  <c r="P51" i="7"/>
  <c r="L53" i="7"/>
  <c r="I55" i="7"/>
  <c r="O54" i="7"/>
  <c r="E51" i="7"/>
  <c r="L55" i="7"/>
  <c r="E53" i="7"/>
  <c r="P53" i="7"/>
  <c r="G54" i="7"/>
  <c r="N53" i="7"/>
  <c r="K53" i="7"/>
  <c r="J55" i="7"/>
  <c r="G53" i="7"/>
  <c r="D54" i="7"/>
  <c r="K52" i="7"/>
  <c r="L51" i="7"/>
  <c r="E52" i="7"/>
  <c r="I53" i="7"/>
  <c r="O52" i="7"/>
  <c r="H54" i="7"/>
  <c r="N51" i="7"/>
  <c r="E54" i="7"/>
  <c r="M52" i="7"/>
  <c r="G51" i="7"/>
  <c r="F53" i="7"/>
  <c r="D51" i="7"/>
  <c r="E55" i="7"/>
  <c r="M54" i="7"/>
  <c r="P52" i="7"/>
  <c r="I52" i="7"/>
  <c r="J54" i="7"/>
  <c r="N52" i="7"/>
  <c r="F52" i="7"/>
  <c r="J53" i="7"/>
  <c r="J52" i="7"/>
  <c r="C52" i="7"/>
  <c r="H51" i="7"/>
  <c r="G52" i="7"/>
  <c r="M51" i="7"/>
  <c r="M55" i="7"/>
  <c r="F55" i="7"/>
  <c r="J51" i="7"/>
  <c r="I51" i="7"/>
  <c r="O55" i="7"/>
  <c r="N55" i="7"/>
  <c r="M53" i="7"/>
  <c r="F51" i="7"/>
  <c r="I54" i="7"/>
  <c r="G55" i="7"/>
  <c r="D53" i="7"/>
  <c r="O53" i="7"/>
  <c r="P55" i="7"/>
  <c r="C51" i="7"/>
  <c r="K54" i="7"/>
  <c r="L47" i="7"/>
  <c r="O44" i="7"/>
  <c r="K44" i="7"/>
  <c r="K48" i="7"/>
  <c r="C48" i="7"/>
  <c r="H45" i="7"/>
  <c r="H46" i="7"/>
  <c r="P47" i="7"/>
  <c r="C46" i="7"/>
  <c r="C47" i="7"/>
  <c r="D48" i="7"/>
  <c r="P44" i="7"/>
  <c r="O47" i="7"/>
  <c r="E44" i="7"/>
  <c r="L48" i="7"/>
  <c r="P46" i="7"/>
  <c r="K46" i="7"/>
  <c r="J48" i="7"/>
  <c r="G46" i="7"/>
  <c r="D47" i="7"/>
  <c r="K45" i="7"/>
  <c r="L44" i="7"/>
  <c r="E45" i="7"/>
  <c r="I46" i="7"/>
  <c r="O45" i="7"/>
  <c r="N44" i="7"/>
  <c r="N46" i="7"/>
  <c r="I48" i="7"/>
  <c r="E47" i="7"/>
  <c r="M45" i="7"/>
  <c r="G44" i="7"/>
  <c r="D44" i="7"/>
  <c r="E48" i="7"/>
  <c r="M47" i="7"/>
  <c r="P45" i="7"/>
  <c r="I45" i="7"/>
  <c r="J47" i="7"/>
  <c r="G47" i="7"/>
  <c r="L45" i="7"/>
  <c r="H47" i="7"/>
  <c r="N45" i="7"/>
  <c r="F45" i="7"/>
  <c r="J46" i="7"/>
  <c r="J45" i="7"/>
  <c r="H44" i="7"/>
  <c r="G45" i="7"/>
  <c r="D45" i="7"/>
  <c r="E46" i="7"/>
  <c r="M44" i="7"/>
  <c r="M48" i="7"/>
  <c r="F48" i="7"/>
  <c r="I44" i="7"/>
  <c r="O48" i="7"/>
  <c r="N48" i="7"/>
  <c r="M46" i="7"/>
  <c r="F44" i="7"/>
  <c r="I47" i="7"/>
  <c r="G48" i="7"/>
  <c r="O46" i="7"/>
  <c r="C44" i="7"/>
  <c r="K47" i="7"/>
  <c r="I53" i="6"/>
  <c r="I61" i="6"/>
  <c r="I50" i="6"/>
  <c r="I58" i="6"/>
  <c r="I62" i="6"/>
  <c r="I65" i="6"/>
  <c r="I51" i="6"/>
  <c r="I55" i="6"/>
  <c r="I59" i="6"/>
  <c r="I63" i="6"/>
  <c r="I57" i="6"/>
  <c r="I54" i="6"/>
  <c r="I52" i="6"/>
  <c r="I56" i="6"/>
  <c r="I60" i="6"/>
  <c r="I64" i="6"/>
  <c r="G53" i="6"/>
  <c r="G61" i="6"/>
  <c r="G54" i="6"/>
  <c r="G62" i="6"/>
  <c r="G57" i="6"/>
  <c r="G50" i="6"/>
  <c r="G51" i="6"/>
  <c r="G55" i="6"/>
  <c r="G59" i="6"/>
  <c r="G63" i="6"/>
  <c r="G65" i="6"/>
  <c r="G58" i="6"/>
  <c r="G52" i="6"/>
  <c r="G56" i="6"/>
  <c r="G60" i="6"/>
  <c r="G64" i="6"/>
  <c r="E57" i="6"/>
  <c r="E65" i="6"/>
  <c r="E54" i="6"/>
  <c r="E58" i="6"/>
  <c r="E62" i="6"/>
  <c r="E53" i="6"/>
  <c r="E51" i="6"/>
  <c r="E55" i="6"/>
  <c r="E59" i="6"/>
  <c r="E63" i="6"/>
  <c r="E61" i="6"/>
  <c r="E52" i="6"/>
  <c r="E56" i="6"/>
  <c r="E60" i="6"/>
  <c r="E64" i="6"/>
  <c r="E50" i="6"/>
  <c r="H11" i="6"/>
  <c r="G8" i="5"/>
  <c r="H8" i="5"/>
  <c r="I8" i="5"/>
  <c r="J8" i="5"/>
  <c r="K8" i="5"/>
  <c r="L8" i="5"/>
  <c r="M8" i="5"/>
  <c r="N8" i="5"/>
  <c r="O8" i="5"/>
  <c r="P8" i="5"/>
  <c r="E9" i="5"/>
  <c r="E10" i="5"/>
  <c r="AB6" i="5" a="1"/>
  <c r="N12" i="5"/>
  <c r="I9" i="5"/>
  <c r="N13" i="5"/>
  <c r="X6" i="5" a="1"/>
  <c r="P10" i="5"/>
  <c r="L10" i="5"/>
  <c r="L11" i="5"/>
  <c r="U7" i="5" a="1"/>
  <c r="V4" i="5" a="1"/>
  <c r="H10" i="5"/>
  <c r="N9" i="5"/>
  <c r="H12" i="5"/>
  <c r="AA5" i="5" a="1"/>
  <c r="X5" i="5" a="1"/>
  <c r="AB4" i="5" a="1"/>
  <c r="J10" i="5"/>
  <c r="K11" i="5"/>
  <c r="K10" i="5"/>
  <c r="Z7" i="5" a="1"/>
  <c r="U4" i="5" a="1"/>
  <c r="P11" i="5"/>
  <c r="J12" i="5"/>
  <c r="AA4" i="5" a="1"/>
  <c r="Z4" i="5" a="1"/>
  <c r="T4" i="5" a="1"/>
  <c r="J11" i="5"/>
  <c r="AC7" i="5" a="1"/>
  <c r="X7" i="5" a="1"/>
  <c r="P9" i="5"/>
  <c r="K14" i="5"/>
  <c r="G10" i="5"/>
  <c r="AC6" i="5" a="1"/>
  <c r="I10" i="5"/>
  <c r="W7" i="5" a="1"/>
  <c r="P13" i="5"/>
  <c r="I13" i="5"/>
  <c r="AA6" i="5" a="1"/>
  <c r="AB7" i="5" a="1"/>
  <c r="K9" i="5"/>
  <c r="AC4" i="5" a="1"/>
  <c r="N10" i="5"/>
  <c r="U6" i="5" a="1"/>
  <c r="M11" i="5"/>
  <c r="U5" i="5" a="1"/>
  <c r="L9" i="5"/>
  <c r="Z6" i="5" a="1"/>
  <c r="J9" i="5"/>
  <c r="M10" i="5"/>
  <c r="O9" i="5"/>
  <c r="Y6" i="5" a="1"/>
  <c r="J13" i="5"/>
  <c r="O10" i="5"/>
  <c r="J14" i="5"/>
  <c r="L12" i="5"/>
  <c r="G9" i="5"/>
  <c r="L13" i="5"/>
  <c r="Y4" i="5" a="1"/>
  <c r="AB5" i="5" a="1"/>
  <c r="T7" i="5" a="1"/>
  <c r="O11" i="5"/>
  <c r="W6" i="5" a="1"/>
  <c r="K12" i="5"/>
  <c r="Z5" i="5" a="1"/>
  <c r="I14" i="5"/>
  <c r="M12" i="5"/>
  <c r="G14" i="5"/>
  <c r="V5" i="5" a="1"/>
  <c r="H13" i="5"/>
  <c r="T6" i="5" a="1"/>
  <c r="AC5" i="5" a="1"/>
  <c r="W5" i="5" a="1"/>
  <c r="T5" i="5" a="1"/>
  <c r="Y5" i="5" a="1"/>
  <c r="V7" i="5" a="1"/>
  <c r="H9" i="5"/>
  <c r="M9" i="5"/>
  <c r="Y7" i="5" a="1"/>
  <c r="V6" i="5" a="1"/>
  <c r="W4" i="5" a="1"/>
  <c r="AA7" i="5" a="1"/>
  <c r="X4" i="5" a="1"/>
  <c r="M13" i="5"/>
  <c r="AA6" i="5" l="1"/>
  <c r="AC5" i="5"/>
  <c r="Y6" i="5"/>
  <c r="AA5" i="5"/>
  <c r="X7" i="5"/>
  <c r="V4" i="5"/>
  <c r="W4" i="5"/>
  <c r="W7" i="5"/>
  <c r="AC7" i="5"/>
  <c r="U7" i="5"/>
  <c r="AC4" i="5"/>
  <c r="AB4" i="5"/>
  <c r="T6" i="5"/>
  <c r="W6" i="5"/>
  <c r="T7" i="5"/>
  <c r="T4" i="5"/>
  <c r="V6" i="5"/>
  <c r="V7" i="5"/>
  <c r="V5" i="5"/>
  <c r="Z6" i="5"/>
  <c r="AC6" i="5"/>
  <c r="Z4" i="5"/>
  <c r="AA4" i="5"/>
  <c r="X6" i="5"/>
  <c r="X4" i="5"/>
  <c r="AB5" i="5"/>
  <c r="Y5" i="5"/>
  <c r="U5" i="5"/>
  <c r="X5" i="5"/>
  <c r="AB7" i="5"/>
  <c r="Y7" i="5"/>
  <c r="T5" i="5"/>
  <c r="Z5" i="5"/>
  <c r="U6" i="5"/>
  <c r="U4" i="5"/>
  <c r="Z7" i="5"/>
  <c r="AB6" i="5"/>
  <c r="AA7" i="5"/>
  <c r="Y4" i="5"/>
  <c r="W5" i="5"/>
  <c r="R29" i="5"/>
  <c r="S30" i="5"/>
  <c r="R28" i="5"/>
  <c r="T37" i="5"/>
  <c r="T34" i="5"/>
  <c r="H5" i="4"/>
  <c r="H4" i="4"/>
  <c r="H3" i="4"/>
  <c r="K13" i="5"/>
  <c r="N11" i="5"/>
  <c r="N14" i="5"/>
  <c r="I12" i="5"/>
  <c r="O12" i="5"/>
  <c r="O13" i="5"/>
  <c r="G11" i="5"/>
  <c r="H14" i="5"/>
  <c r="P12" i="5"/>
  <c r="O14" i="5"/>
  <c r="G12" i="5"/>
  <c r="L14" i="5"/>
  <c r="P14" i="5"/>
  <c r="G13" i="5"/>
  <c r="M14" i="5"/>
  <c r="H11" i="5"/>
  <c r="I11" i="5"/>
  <c r="D14" i="4" l="1"/>
  <c r="D15" i="4" s="1"/>
  <c r="D22" i="4"/>
  <c r="D17" i="4"/>
  <c r="D25" i="4"/>
  <c r="K32" i="4" l="1"/>
  <c r="K29" i="4"/>
  <c r="K33" i="4"/>
  <c r="K34" i="4"/>
  <c r="K37" i="4"/>
  <c r="K31" i="4"/>
  <c r="K35" i="4"/>
  <c r="K36" i="4"/>
  <c r="M36" i="4" s="1"/>
  <c r="K30" i="4"/>
  <c r="D23" i="4" a="1"/>
  <c r="D23" i="4" s="1"/>
  <c r="E24" i="4" s="1"/>
  <c r="L36" i="4" l="1"/>
  <c r="P36" i="4"/>
  <c r="O36" i="4"/>
  <c r="N36" i="4"/>
  <c r="Q36" i="4"/>
  <c r="O31" i="4"/>
  <c r="Q31" i="4"/>
  <c r="P31" i="4"/>
  <c r="L31" i="4"/>
  <c r="M31" i="4"/>
  <c r="N31" i="4"/>
  <c r="O29" i="4"/>
  <c r="P29" i="4"/>
  <c r="N29" i="4"/>
  <c r="M29" i="4"/>
  <c r="L29" i="4"/>
  <c r="Q29" i="4"/>
  <c r="Q30" i="4"/>
  <c r="N30" i="4"/>
  <c r="P30" i="4"/>
  <c r="O30" i="4"/>
  <c r="M30" i="4"/>
  <c r="L30" i="4"/>
  <c r="Q34" i="4"/>
  <c r="M34" i="4"/>
  <c r="P34" i="4"/>
  <c r="O34" i="4"/>
  <c r="N34" i="4"/>
  <c r="L34" i="4"/>
  <c r="O37" i="4"/>
  <c r="L37" i="4"/>
  <c r="N37" i="4"/>
  <c r="M37" i="4"/>
  <c r="Q37" i="4"/>
  <c r="P37" i="4"/>
  <c r="M35" i="4"/>
  <c r="P35" i="4"/>
  <c r="L35" i="4"/>
  <c r="Q35" i="4"/>
  <c r="O35" i="4"/>
  <c r="N35" i="4"/>
  <c r="M32" i="4"/>
  <c r="N32" i="4"/>
  <c r="L32" i="4"/>
  <c r="Q32" i="4"/>
  <c r="O32" i="4"/>
  <c r="P32" i="4"/>
  <c r="O33" i="4"/>
  <c r="L33" i="4"/>
  <c r="N33" i="4"/>
  <c r="M33" i="4"/>
  <c r="Q33" i="4"/>
  <c r="P33" i="4"/>
  <c r="E16" i="4"/>
  <c r="D16" i="4"/>
  <c r="D24" i="4"/>
  <c r="D26" i="4"/>
  <c r="D18" i="4"/>
  <c r="C37" i="4" l="1"/>
  <c r="C30" i="4"/>
  <c r="C29" i="4"/>
  <c r="C36" i="4"/>
  <c r="C32" i="4"/>
  <c r="C34" i="4"/>
  <c r="C31" i="4"/>
  <c r="C35" i="4"/>
  <c r="C33" i="4"/>
  <c r="F37" i="4"/>
  <c r="G37" i="4"/>
  <c r="J37" i="4"/>
  <c r="I37" i="4"/>
  <c r="H37" i="4"/>
  <c r="E37" i="4"/>
  <c r="H30" i="4"/>
  <c r="I30" i="4"/>
  <c r="G30" i="4"/>
  <c r="J30" i="4"/>
  <c r="F30" i="4"/>
  <c r="E30" i="4"/>
  <c r="H29" i="4"/>
  <c r="E29" i="4"/>
  <c r="I29" i="4"/>
  <c r="F29" i="4"/>
  <c r="G29" i="4"/>
  <c r="J29" i="4"/>
  <c r="H36" i="4"/>
  <c r="I36" i="4"/>
  <c r="F36" i="4"/>
  <c r="G36" i="4"/>
  <c r="E36" i="4"/>
  <c r="J36" i="4"/>
  <c r="E32" i="4"/>
  <c r="H32" i="4"/>
  <c r="F32" i="4"/>
  <c r="I32" i="4"/>
  <c r="G32" i="4"/>
  <c r="J32" i="4"/>
  <c r="H34" i="4"/>
  <c r="E34" i="4"/>
  <c r="I34" i="4"/>
  <c r="J34" i="4"/>
  <c r="G34" i="4"/>
  <c r="F34" i="4"/>
  <c r="I31" i="4"/>
  <c r="H31" i="4"/>
  <c r="G31" i="4"/>
  <c r="J31" i="4"/>
  <c r="F31" i="4"/>
  <c r="E31" i="4"/>
  <c r="F35" i="4"/>
  <c r="J35" i="4"/>
  <c r="I35" i="4"/>
  <c r="H35" i="4"/>
  <c r="G35" i="4"/>
  <c r="E35" i="4"/>
  <c r="G33" i="4"/>
  <c r="F33" i="4"/>
  <c r="E33" i="4"/>
  <c r="H33" i="4"/>
  <c r="J33" i="4"/>
  <c r="I3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<sst xmlns="http://schemas.openxmlformats.org/spreadsheetml/2006/main" count="177" uniqueCount="154">
  <si>
    <t>Speed</t>
  </si>
  <si>
    <t>ftp</t>
  </si>
  <si>
    <t>tyre</t>
  </si>
  <si>
    <t>fL</t>
  </si>
  <si>
    <t>fS</t>
  </si>
  <si>
    <t>rL</t>
  </si>
  <si>
    <t>rS</t>
  </si>
  <si>
    <t>gradeUp</t>
  </si>
  <si>
    <t>rpmUp</t>
  </si>
  <si>
    <t>dUp</t>
  </si>
  <si>
    <t>wUp</t>
  </si>
  <si>
    <t>P_Up</t>
  </si>
  <si>
    <t>R_Up</t>
  </si>
  <si>
    <t>gradeDn</t>
  </si>
  <si>
    <t>rpmDn</t>
  </si>
  <si>
    <t>wDn</t>
  </si>
  <si>
    <t>P_Dn</t>
  </si>
  <si>
    <t>R_Dn</t>
  </si>
  <si>
    <t>dDn</t>
  </si>
  <si>
    <t>tyre circumference</t>
  </si>
  <si>
    <t>chain wheel front / large</t>
  </si>
  <si>
    <t>chain wheel front / small</t>
  </si>
  <si>
    <t>cassette back / large</t>
  </si>
  <si>
    <t>cassette back / small</t>
  </si>
  <si>
    <t>Slope angle, riding uphill</t>
  </si>
  <si>
    <t>Slope angle, riding downhill</t>
  </si>
  <si>
    <t>When riding uphill, we assume cadence is at minimum</t>
  </si>
  <si>
    <t>With the lightest gear (small front, large back) this is the distance for one wheel rotation</t>
  </si>
  <si>
    <t>And combined this gives the wheel speed (mm/s or km/hr)</t>
  </si>
  <si>
    <t>When riding uphill, we choose to ride at a challenging power</t>
  </si>
  <si>
    <t>And for the trainer, this results in the Resistance to be set</t>
  </si>
  <si>
    <t>When riding downhill, we assume cadence is at maximum</t>
  </si>
  <si>
    <t>With the heaviest gear (large front, small back) this is the distance for one wheel rotation</t>
  </si>
  <si>
    <t>When riding downhill, we choose to ride at a moderate power</t>
  </si>
  <si>
    <t xml:space="preserve">Chain wheel front / large   </t>
  </si>
  <si>
    <t xml:space="preserve">Chain wheel front / small   </t>
  </si>
  <si>
    <t xml:space="preserve">Cassette back / large  </t>
  </si>
  <si>
    <t xml:space="preserve">Cassette back / small   </t>
  </si>
  <si>
    <t>Functional Threshold Power of rider</t>
  </si>
  <si>
    <t xml:space="preserve">Bicycle definition | Tyre circumference   </t>
  </si>
  <si>
    <t>Legenda</t>
  </si>
  <si>
    <t>Input value</t>
  </si>
  <si>
    <t>Software constant</t>
  </si>
  <si>
    <t>Calculated value</t>
  </si>
  <si>
    <t>Slope</t>
  </si>
  <si>
    <t>Ratio</t>
  </si>
  <si>
    <t>Resistance</t>
  </si>
  <si>
    <t>rDn</t>
  </si>
  <si>
    <t>Gear ratio, riding downhill</t>
  </si>
  <si>
    <t>Gear ratio, riding uphill</t>
  </si>
  <si>
    <t>rUp</t>
  </si>
  <si>
    <t>= Resistance Reference Point -20%</t>
  </si>
  <si>
    <t>= Resistance Reference Point +20%</t>
  </si>
  <si>
    <t>Power to be produced when riding uphill (at low cadence)</t>
  </si>
  <si>
    <t>Power to be produced when riding downhill (at high cadence)</t>
  </si>
  <si>
    <t>ftp_Up</t>
  </si>
  <si>
    <t>ftp_Dn</t>
  </si>
  <si>
    <t>percentage of ftp</t>
  </si>
  <si>
    <t>Calculations</t>
  </si>
  <si>
    <t>Some presets:</t>
  </si>
  <si>
    <t>The Powercurve is drawn as if no gear-chaging takes place at all</t>
  </si>
  <si>
    <t>The Powercurve is drawn as if only the cassette is used</t>
  </si>
  <si>
    <t>The Powercurve is drawn with full gear-shifting</t>
  </si>
  <si>
    <r>
      <rPr>
        <b/>
        <sz val="11"/>
        <color theme="1"/>
        <rFont val="Calibri"/>
        <family val="2"/>
        <scheme val="minor"/>
      </rPr>
      <t>The ratio</t>
    </r>
    <r>
      <rPr>
        <sz val="11"/>
        <color theme="1"/>
        <rFont val="Calibri"/>
        <family val="2"/>
        <scheme val="minor"/>
      </rPr>
      <t xml:space="preserve"> is calculated lineairly between max/min based upon the Grade</t>
    </r>
  </si>
  <si>
    <t>Fortius ANT Powercurve  |  Study sheet</t>
  </si>
  <si>
    <t>This sheet can be used to experiment offline with the PowerCurve (with your own ftp and bicycle) resulting in a PowerCurve and command-line</t>
  </si>
  <si>
    <t>FortiusAnt.py</t>
  </si>
  <si>
    <t>Command line (parameters)</t>
  </si>
  <si>
    <t>==&gt;</t>
  </si>
  <si>
    <t>&lt;==&gt;</t>
  </si>
  <si>
    <t>R 10%</t>
  </si>
  <si>
    <t>R 5%</t>
  </si>
  <si>
    <t>R 0%</t>
  </si>
  <si>
    <t>R -5%</t>
  </si>
  <si>
    <t>m / omw</t>
  </si>
  <si>
    <t>FTP</t>
  </si>
  <si>
    <r>
      <t xml:space="preserve">The </t>
    </r>
    <r>
      <rPr>
        <b/>
        <sz val="11"/>
        <color rgb="FF0000FF"/>
        <rFont val="Calibri"/>
        <family val="2"/>
        <scheme val="minor"/>
      </rPr>
      <t>four curves</t>
    </r>
    <r>
      <rPr>
        <sz val="11"/>
        <color theme="1"/>
        <rFont val="Calibri"/>
        <family val="2"/>
        <scheme val="minor"/>
      </rPr>
      <t xml:space="preserve"> show the required power (left Y-axis)</t>
    </r>
  </si>
  <si>
    <r>
      <t xml:space="preserve">The </t>
    </r>
    <r>
      <rPr>
        <b/>
        <sz val="11"/>
        <color rgb="FF0000FF"/>
        <rFont val="Calibri"/>
        <family val="2"/>
        <scheme val="minor"/>
      </rPr>
      <t>green surface</t>
    </r>
    <r>
      <rPr>
        <sz val="11"/>
        <color theme="1"/>
        <rFont val="Calibri"/>
        <family val="2"/>
        <scheme val="minor"/>
      </rPr>
      <t xml:space="preserve"> is the working area (right Y-as)</t>
    </r>
  </si>
  <si>
    <t>The upperline is governed by the lightest gear-ratio</t>
  </si>
  <si>
    <t>The lowerline is governed by the heaviest gear-ratio</t>
  </si>
  <si>
    <t>you ride 20 km/uur on a 5% slope</t>
  </si>
  <si>
    <t>Largest slope and heaviest gear-ratio (lowest cadance)</t>
  </si>
  <si>
    <t>Power</t>
  </si>
  <si>
    <t>Cadance</t>
  </si>
  <si>
    <t>Light</t>
  </si>
  <si>
    <t>Heavy</t>
  </si>
  <si>
    <t>Front</t>
  </si>
  <si>
    <t>Circ.</t>
  </si>
  <si>
    <t>This image shows the follwing:</t>
  </si>
  <si>
    <t>https://www.fiets.nl/2016/05/02/de-natuurkunde-van-het-fietsen/</t>
  </si>
  <si>
    <t>This page is intended to study the formula's as presented</t>
  </si>
  <si>
    <t>on "fiets.nl". The code is implemented as option=4.</t>
  </si>
  <si>
    <t>athlete + bike</t>
  </si>
  <si>
    <t>Weight</t>
  </si>
  <si>
    <t>Rear</t>
  </si>
  <si>
    <t>Res     10km/H  20km/H  30km/H  40km/H</t>
  </si>
  <si>
    <t>10      32      85      140     190</t>
  </si>
  <si>
    <t>20      32      85      140     190</t>
  </si>
  <si>
    <t>30      32      85      140     190</t>
  </si>
  <si>
    <t>40      32      89      140     190</t>
  </si>
  <si>
    <t>50      32      89      140     210</t>
  </si>
  <si>
    <t xml:space="preserve">60      34      93      150     </t>
  </si>
  <si>
    <t xml:space="preserve">70      35      100     160     </t>
  </si>
  <si>
    <t xml:space="preserve">80      38      105     170     </t>
  </si>
  <si>
    <t xml:space="preserve">90      40      112     193     </t>
  </si>
  <si>
    <t>100     42      128     210     310</t>
  </si>
  <si>
    <t xml:space="preserve">110     48      139     230     </t>
  </si>
  <si>
    <t xml:space="preserve">120     50      142     235     </t>
  </si>
  <si>
    <t xml:space="preserve">130     50      145     245     </t>
  </si>
  <si>
    <t xml:space="preserve">140     52      152     250     </t>
  </si>
  <si>
    <t>150     58      162     265     ~410</t>
  </si>
  <si>
    <t xml:space="preserve">160     60      180     285     </t>
  </si>
  <si>
    <t xml:space="preserve">170     65      190     310     </t>
  </si>
  <si>
    <t xml:space="preserve">180     68      198     332     </t>
  </si>
  <si>
    <t xml:space="preserve">190     70      207     340     </t>
  </si>
  <si>
    <t>200     72      207     365     ~550</t>
  </si>
  <si>
    <t xml:space="preserve">210     72      210     370     </t>
  </si>
  <si>
    <t xml:space="preserve">220     75      210     390     </t>
  </si>
  <si>
    <t xml:space="preserve">230     75      210     390     </t>
  </si>
  <si>
    <t xml:space="preserve">240     75      210     390     </t>
  </si>
  <si>
    <t xml:space="preserve">250     75      210     390     </t>
  </si>
  <si>
    <t>10 km/hr</t>
  </si>
  <si>
    <t>20 km/hr</t>
  </si>
  <si>
    <t>30 km/hr</t>
  </si>
  <si>
    <t>40 km/hr</t>
  </si>
  <si>
    <t>Reverse: Power2Speed</t>
  </si>
  <si>
    <t>Formula</t>
  </si>
  <si>
    <t>Formula=4 is implemented</t>
  </si>
  <si>
    <t>level4res</t>
  </si>
  <si>
    <t>ResistanceLevel</t>
  </si>
  <si>
    <t>sendResList</t>
  </si>
  <si>
    <t>ResistanceSend</t>
  </si>
  <si>
    <t>PowerFactors4Level1</t>
  </si>
  <si>
    <t>Factor</t>
  </si>
  <si>
    <t>PowerFactors4Level2</t>
  </si>
  <si>
    <t>Offset</t>
  </si>
  <si>
    <t>Grade4Level</t>
  </si>
  <si>
    <t>Adjusted grade</t>
  </si>
  <si>
    <t>Actual ratio</t>
  </si>
  <si>
    <t>Resistance / factor</t>
  </si>
  <si>
    <t>Resistance / offset</t>
  </si>
  <si>
    <t>Average ratio</t>
  </si>
  <si>
    <t>Correction below R=1819</t>
  </si>
  <si>
    <t>Delta factor</t>
  </si>
  <si>
    <t>1819 - Resistance</t>
  </si>
  <si>
    <t>Resistance -&gt; Power (antifier table)</t>
  </si>
  <si>
    <t>Resistance -&gt; Power (fixed ratio)</t>
  </si>
  <si>
    <t>formula: Power = (Speed /(268 - (1819-Resistance)/15) - 1/40 ) * Resistance</t>
  </si>
  <si>
    <t>formula: Power = (Speed /268 - 1/40) * Resistance</t>
  </si>
  <si>
    <t>Difference</t>
  </si>
  <si>
    <t>Power -&gt; Resistance (fixed ratio)</t>
  </si>
  <si>
    <t>Using the defined resistance values, to verify that the inverse function works</t>
  </si>
  <si>
    <t>Using random Powers</t>
  </si>
  <si>
    <t>Speed2Power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</si>
</sst>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General&quot; %&quot;"/>
    <numFmt numFmtId="165" formatCode="General&quot; mm/s&quot;"/>
    <numFmt numFmtId="166" formatCode="General&quot; km/hr&quot;"/>
    <numFmt numFmtId="167" formatCode="0.00&quot; m&quot;"/>
    <numFmt numFmtId="168" formatCode="General&quot; /min&quot;"/>
    <numFmt numFmtId="169" formatCode="General&quot; W&quot;"/>
    <numFmt numFmtId="170" formatCode="General&quot; ~Nm&quot;"/>
    <numFmt numFmtId="171" formatCode="0&quot; W&quot;"/>
    <numFmt numFmtId="172" formatCode="General&quot; teeth&quot;"/>
    <numFmt numFmtId="173" formatCode="General&quot; m&quot;"/>
    <numFmt numFmtId="174" formatCode="General&quot;%&quot;"/>
    <numFmt numFmtId="175" formatCode="General&quot; omw/min&quot;"/>
    <numFmt numFmtId="176" formatCode="General&quot; km/uur&quot;"/>
    <numFmt numFmtId="177" formatCode="0.00&quot;m&quot;"/>
    <numFmt numFmtId="178" formatCode="General\ &quot;km/hr PowerMeter&quot;"/>
    <numFmt numFmtId="179" formatCode="General\ &quot;km/hr Formula&quot;"/>
    <numFmt numFmtId="180" formatCode="0.0"/>
    <numFmt numFmtId="181" formatCode="0.000"/>
    <numFmt numFmtId="182" formatCode="0&quot; W&quot;\ "/>
    <numFmt numFmtId="183" formatCode="General&quot; W&quot;\ 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9"/>
      <color rgb="FF24292E"/>
      <name val="Consolas"/>
      <family val="3"/>
    </font>
    <font>
      <b/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6F8FA"/>
        <bgColor indexed="64"/>
      </patternFill>
    </fill>
  </fills>
  <borders count="32">
    <border>
      <left/>
      <right/>
      <top/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/>
      <right/>
      <top style="thin">
        <color rgb="FF0000FF"/>
      </top>
      <bottom/>
      <diagonal/>
    </border>
    <border>
      <left/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/>
      <bottom/>
      <diagonal/>
    </border>
    <border>
      <left/>
      <right style="thin">
        <color rgb="FF0000FF"/>
      </right>
      <top/>
      <bottom/>
      <diagonal/>
    </border>
    <border>
      <left style="thin">
        <color rgb="FF0000FF"/>
      </left>
      <right/>
      <top/>
      <bottom style="thin">
        <color rgb="FF0000FF"/>
      </bottom>
      <diagonal/>
    </border>
    <border>
      <left/>
      <right/>
      <top/>
      <bottom style="thin">
        <color rgb="FF0000FF"/>
      </bottom>
      <diagonal/>
    </border>
    <border>
      <left/>
      <right style="thin">
        <color rgb="FF0000FF"/>
      </right>
      <top/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8">
    <xf numFmtId="0" fontId="0" fillId="0" borderId="0" xfId="0"/>
    <xf numFmtId="0" fontId="0" fillId="3" borderId="0" xfId="0" applyFill="1" applyAlignment="1">
      <alignment horizontal="right"/>
    </xf>
    <xf numFmtId="0" fontId="0" fillId="3" borderId="0" xfId="0" applyFill="1"/>
    <xf numFmtId="166" fontId="0" fillId="3" borderId="0" xfId="0" applyNumberFormat="1" applyFill="1"/>
    <xf numFmtId="171" fontId="1" fillId="3" borderId="0" xfId="0" applyNumberFormat="1" applyFont="1" applyFill="1"/>
    <xf numFmtId="164" fontId="2" fillId="3" borderId="0" xfId="0" applyNumberFormat="1" applyFont="1" applyFill="1"/>
    <xf numFmtId="168" fontId="2" fillId="3" borderId="0" xfId="0" applyNumberFormat="1" applyFont="1" applyFill="1"/>
    <xf numFmtId="167" fontId="1" fillId="3" borderId="0" xfId="0" applyNumberFormat="1" applyFont="1" applyFill="1"/>
    <xf numFmtId="165" fontId="1" fillId="3" borderId="0" xfId="0" applyNumberFormat="1" applyFont="1" applyFill="1"/>
    <xf numFmtId="170" fontId="1" fillId="3" borderId="0" xfId="0" applyNumberFormat="1" applyFont="1" applyFill="1"/>
    <xf numFmtId="0" fontId="1" fillId="3" borderId="0" xfId="0" applyFont="1" applyFill="1"/>
    <xf numFmtId="0" fontId="2" fillId="2" borderId="0" xfId="0" applyNumberFormat="1" applyFont="1" applyFill="1"/>
    <xf numFmtId="0" fontId="2" fillId="3" borderId="0" xfId="0" applyNumberFormat="1" applyFont="1" applyFill="1"/>
    <xf numFmtId="0" fontId="1" fillId="3" borderId="0" xfId="0" applyNumberFormat="1" applyFont="1" applyFill="1"/>
    <xf numFmtId="9" fontId="1" fillId="3" borderId="0" xfId="0" applyNumberFormat="1" applyFont="1" applyFill="1"/>
    <xf numFmtId="0" fontId="0" fillId="3" borderId="2" xfId="0" applyFill="1" applyBorder="1"/>
    <xf numFmtId="0" fontId="0" fillId="3" borderId="3" xfId="0" applyFill="1" applyBorder="1"/>
    <xf numFmtId="166" fontId="0" fillId="3" borderId="4" xfId="0" applyNumberFormat="1" applyFill="1" applyBorder="1"/>
    <xf numFmtId="166" fontId="0" fillId="3" borderId="0" xfId="0" applyNumberFormat="1" applyFill="1" applyBorder="1"/>
    <xf numFmtId="166" fontId="0" fillId="3" borderId="5" xfId="0" applyNumberFormat="1" applyFill="1" applyBorder="1"/>
    <xf numFmtId="166" fontId="0" fillId="3" borderId="6" xfId="0" applyNumberFormat="1" applyFill="1" applyBorder="1"/>
    <xf numFmtId="166" fontId="0" fillId="3" borderId="7" xfId="0" applyNumberFormat="1" applyFill="1" applyBorder="1"/>
    <xf numFmtId="166" fontId="0" fillId="3" borderId="8" xfId="0" applyNumberFormat="1" applyFill="1" applyBorder="1"/>
    <xf numFmtId="0" fontId="0" fillId="3" borderId="9" xfId="0" applyFill="1" applyBorder="1" applyAlignment="1">
      <alignment horizontal="right"/>
    </xf>
    <xf numFmtId="9" fontId="0" fillId="3" borderId="10" xfId="0" applyNumberFormat="1" applyFill="1" applyBorder="1"/>
    <xf numFmtId="9" fontId="0" fillId="3" borderId="11" xfId="0" applyNumberFormat="1" applyFill="1" applyBorder="1"/>
    <xf numFmtId="168" fontId="0" fillId="3" borderId="1" xfId="0" applyNumberFormat="1" applyFill="1" applyBorder="1"/>
    <xf numFmtId="168" fontId="0" fillId="3" borderId="2" xfId="0" applyNumberFormat="1" applyFill="1" applyBorder="1"/>
    <xf numFmtId="168" fontId="0" fillId="3" borderId="3" xfId="0" applyNumberFormat="1" applyFill="1" applyBorder="1"/>
    <xf numFmtId="171" fontId="0" fillId="3" borderId="4" xfId="0" applyNumberFormat="1" applyFont="1" applyFill="1" applyBorder="1"/>
    <xf numFmtId="171" fontId="0" fillId="3" borderId="0" xfId="0" applyNumberFormat="1" applyFont="1" applyFill="1" applyBorder="1"/>
    <xf numFmtId="171" fontId="2" fillId="3" borderId="5" xfId="0" applyNumberFormat="1" applyFont="1" applyFill="1" applyBorder="1"/>
    <xf numFmtId="171" fontId="0" fillId="3" borderId="5" xfId="0" applyNumberFormat="1" applyFont="1" applyFill="1" applyBorder="1"/>
    <xf numFmtId="171" fontId="2" fillId="3" borderId="6" xfId="0" applyNumberFormat="1" applyFont="1" applyFill="1" applyBorder="1"/>
    <xf numFmtId="171" fontId="0" fillId="3" borderId="7" xfId="0" applyNumberFormat="1" applyFont="1" applyFill="1" applyBorder="1"/>
    <xf numFmtId="171" fontId="0" fillId="3" borderId="8" xfId="0" applyNumberFormat="1" applyFont="1" applyFill="1" applyBorder="1"/>
    <xf numFmtId="170" fontId="0" fillId="3" borderId="10" xfId="0" applyNumberFormat="1" applyFill="1" applyBorder="1"/>
    <xf numFmtId="170" fontId="0" fillId="3" borderId="11" xfId="0" applyNumberFormat="1" applyFill="1" applyBorder="1"/>
    <xf numFmtId="164" fontId="0" fillId="3" borderId="10" xfId="0" applyNumberFormat="1" applyFill="1" applyBorder="1"/>
    <xf numFmtId="164" fontId="0" fillId="3" borderId="11" xfId="0" applyNumberFormat="1" applyFill="1" applyBorder="1"/>
    <xf numFmtId="0" fontId="2" fillId="3" borderId="0" xfId="0" quotePrefix="1" applyFont="1" applyFill="1"/>
    <xf numFmtId="0" fontId="1" fillId="3" borderId="1" xfId="0" applyFont="1" applyFill="1" applyBorder="1"/>
    <xf numFmtId="0" fontId="1" fillId="3" borderId="9" xfId="0" applyFont="1" applyFill="1" applyBorder="1" applyAlignment="1">
      <alignment horizontal="right"/>
    </xf>
    <xf numFmtId="0" fontId="3" fillId="3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69" fontId="2" fillId="2" borderId="0" xfId="0" applyNumberFormat="1" applyFont="1" applyFill="1" applyProtection="1">
      <protection locked="0"/>
    </xf>
    <xf numFmtId="174" fontId="2" fillId="2" borderId="0" xfId="0" applyNumberFormat="1" applyFont="1" applyFill="1" applyProtection="1">
      <protection locked="0"/>
    </xf>
    <xf numFmtId="173" fontId="2" fillId="2" borderId="0" xfId="0" applyNumberFormat="1" applyFont="1" applyFill="1" applyProtection="1">
      <protection locked="0"/>
    </xf>
    <xf numFmtId="172" fontId="2" fillId="2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175" fontId="0" fillId="0" borderId="0" xfId="0" applyNumberFormat="1"/>
    <xf numFmtId="0" fontId="0" fillId="0" borderId="0" xfId="0" quotePrefix="1"/>
    <xf numFmtId="176" fontId="0" fillId="0" borderId="0" xfId="0" applyNumberFormat="1"/>
    <xf numFmtId="9" fontId="0" fillId="0" borderId="0" xfId="0" applyNumberFormat="1"/>
    <xf numFmtId="1" fontId="0" fillId="0" borderId="0" xfId="0" applyNumberFormat="1"/>
    <xf numFmtId="0" fontId="2" fillId="0" borderId="0" xfId="0" applyFont="1"/>
    <xf numFmtId="0" fontId="1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8" xfId="0" applyFill="1" applyBorder="1"/>
    <xf numFmtId="0" fontId="0" fillId="4" borderId="7" xfId="0" applyFill="1" applyBorder="1"/>
    <xf numFmtId="0" fontId="2" fillId="4" borderId="6" xfId="0" applyFont="1" applyFill="1" applyBorder="1"/>
    <xf numFmtId="177" fontId="0" fillId="4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3" xfId="0" applyFill="1" applyBorder="1"/>
    <xf numFmtId="0" fontId="0" fillId="4" borderId="2" xfId="0" applyFill="1" applyBorder="1"/>
    <xf numFmtId="0" fontId="2" fillId="4" borderId="1" xfId="0" applyFont="1" applyFill="1" applyBorder="1"/>
    <xf numFmtId="1" fontId="0" fillId="4" borderId="13" xfId="0" applyNumberFormat="1" applyFill="1" applyBorder="1"/>
    <xf numFmtId="1" fontId="0" fillId="4" borderId="14" xfId="0" applyNumberFormat="1" applyFill="1" applyBorder="1"/>
    <xf numFmtId="0" fontId="2" fillId="4" borderId="15" xfId="0" applyFont="1" applyFill="1" applyBorder="1"/>
    <xf numFmtId="0" fontId="2" fillId="4" borderId="0" xfId="0" applyFont="1" applyFill="1" applyAlignment="1">
      <alignment horizontal="center"/>
    </xf>
    <xf numFmtId="1" fontId="0" fillId="4" borderId="8" xfId="0" applyNumberFormat="1" applyFill="1" applyBorder="1"/>
    <xf numFmtId="1" fontId="0" fillId="4" borderId="7" xfId="0" applyNumberFormat="1" applyFill="1" applyBorder="1"/>
    <xf numFmtId="164" fontId="2" fillId="4" borderId="6" xfId="0" applyNumberFormat="1" applyFont="1" applyFill="1" applyBorder="1"/>
    <xf numFmtId="1" fontId="0" fillId="4" borderId="5" xfId="0" applyNumberFormat="1" applyFill="1" applyBorder="1"/>
    <xf numFmtId="1" fontId="0" fillId="4" borderId="0" xfId="0" applyNumberFormat="1" applyFill="1"/>
    <xf numFmtId="164" fontId="2" fillId="4" borderId="4" xfId="0" applyNumberFormat="1" applyFont="1" applyFill="1" applyBorder="1"/>
    <xf numFmtId="0" fontId="1" fillId="4" borderId="0" xfId="0" applyFont="1" applyFill="1" applyAlignment="1">
      <alignment horizontal="right"/>
    </xf>
    <xf numFmtId="0" fontId="2" fillId="4" borderId="0" xfId="0" applyFont="1" applyFill="1"/>
    <xf numFmtId="0" fontId="2" fillId="4" borderId="3" xfId="0" applyFont="1" applyFill="1" applyBorder="1"/>
    <xf numFmtId="0" fontId="2" fillId="4" borderId="2" xfId="0" applyFont="1" applyFill="1" applyBorder="1"/>
    <xf numFmtId="0" fontId="0" fillId="4" borderId="1" xfId="0" applyFill="1" applyBorder="1"/>
    <xf numFmtId="0" fontId="2" fillId="4" borderId="0" xfId="0" applyFont="1" applyFill="1" applyAlignment="1">
      <alignment horizontal="right"/>
    </xf>
    <xf numFmtId="0" fontId="6" fillId="0" borderId="0" xfId="1"/>
    <xf numFmtId="0" fontId="7" fillId="0" borderId="0" xfId="0" applyFont="1" applyAlignment="1">
      <alignment horizontal="left" vertical="center" indent="1"/>
    </xf>
    <xf numFmtId="0" fontId="7" fillId="5" borderId="0" xfId="0" applyFont="1" applyFill="1" applyAlignment="1">
      <alignment horizontal="left" vertical="center" indent="1"/>
    </xf>
    <xf numFmtId="0" fontId="8" fillId="0" borderId="0" xfId="0" applyFont="1"/>
    <xf numFmtId="178" fontId="0" fillId="0" borderId="0" xfId="0" applyNumberFormat="1"/>
    <xf numFmtId="179" fontId="0" fillId="0" borderId="0" xfId="0" applyNumberFormat="1"/>
    <xf numFmtId="180" fontId="0" fillId="4" borderId="0" xfId="0" applyNumberFormat="1" applyFill="1"/>
    <xf numFmtId="0" fontId="0" fillId="0" borderId="16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81" fontId="0" fillId="0" borderId="0" xfId="0" applyNumberFormat="1"/>
    <xf numFmtId="0" fontId="9" fillId="0" borderId="0" xfId="0" applyFont="1"/>
    <xf numFmtId="1" fontId="9" fillId="0" borderId="0" xfId="0" applyNumberFormat="1" applyFont="1"/>
    <xf numFmtId="180" fontId="9" fillId="0" borderId="0" xfId="0" applyNumberFormat="1" applyFont="1"/>
    <xf numFmtId="166" fontId="0" fillId="0" borderId="0" xfId="0" applyNumberFormat="1"/>
    <xf numFmtId="182" fontId="0" fillId="0" borderId="0" xfId="0" applyNumberFormat="1"/>
    <xf numFmtId="0" fontId="1" fillId="0" borderId="20" xfId="0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" fillId="0" borderId="22" xfId="0" applyFont="1" applyBorder="1" applyAlignment="1">
      <alignment horizontal="right"/>
    </xf>
    <xf numFmtId="182" fontId="0" fillId="0" borderId="27" xfId="0" applyNumberFormat="1" applyBorder="1"/>
    <xf numFmtId="182" fontId="0" fillId="0" borderId="28" xfId="0" applyNumberFormat="1" applyBorder="1"/>
    <xf numFmtId="182" fontId="0" fillId="0" borderId="29" xfId="0" applyNumberFormat="1" applyBorder="1"/>
    <xf numFmtId="182" fontId="0" fillId="0" borderId="30" xfId="0" applyNumberFormat="1" applyBorder="1"/>
    <xf numFmtId="182" fontId="0" fillId="0" borderId="31" xfId="0" applyNumberFormat="1" applyBorder="1"/>
    <xf numFmtId="183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FortiusANT</a:t>
            </a:r>
            <a:r>
              <a:rPr lang="nl-NL" baseline="0"/>
              <a:t> powercurve</a:t>
            </a:r>
            <a:endParaRPr lang="nl-N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Powercurve!$E$28</c:f>
              <c:strCache>
                <c:ptCount val="1"/>
                <c:pt idx="0">
                  <c:v>50 /min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Powercurve!$E$29:$E$37</c:f>
              <c:numCache>
                <c:formatCode>0" W"</c:formatCode>
                <c:ptCount val="9"/>
                <c:pt idx="0">
                  <c:v>100.1</c:v>
                </c:pt>
                <c:pt idx="1">
                  <c:v>125</c:v>
                </c:pt>
                <c:pt idx="2">
                  <c:v>149.9</c:v>
                </c:pt>
                <c:pt idx="3">
                  <c:v>174.8</c:v>
                </c:pt>
                <c:pt idx="4">
                  <c:v>199.7</c:v>
                </c:pt>
                <c:pt idx="5">
                  <c:v>224.7</c:v>
                </c:pt>
                <c:pt idx="6">
                  <c:v>249.6</c:v>
                </c:pt>
                <c:pt idx="7">
                  <c:v>274.5</c:v>
                </c:pt>
                <c:pt idx="8">
                  <c:v>299.39999999999998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4-4D44-8D9D-CAF4C99A8C73}"/>
            </c:ext>
          </c:extLst>
        </c:ser>
        <c:ser>
          <c:idx val="1"/>
          <c:order val="1"/>
          <c:tx>
            <c:strRef>
              <c:f>Powercurve!$F$28</c:f>
              <c:strCache>
                <c:ptCount val="1"/>
                <c:pt idx="0">
                  <c:v>60 /min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Powercurve!$F$29:$F$37</c:f>
              <c:numCache>
                <c:formatCode>0" W"</c:formatCode>
                <c:ptCount val="9"/>
                <c:pt idx="0">
                  <c:v>120.1</c:v>
                </c:pt>
                <c:pt idx="1">
                  <c:v>150</c:v>
                </c:pt>
                <c:pt idx="2">
                  <c:v>179.9</c:v>
                </c:pt>
                <c:pt idx="3">
                  <c:v>209.8</c:v>
                </c:pt>
                <c:pt idx="4">
                  <c:v>239.7</c:v>
                </c:pt>
                <c:pt idx="5">
                  <c:v>269.60000000000002</c:v>
                </c:pt>
                <c:pt idx="6">
                  <c:v>299.5</c:v>
                </c:pt>
                <c:pt idx="7">
                  <c:v>329.4</c:v>
                </c:pt>
                <c:pt idx="8">
                  <c:v>359.3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4-4D44-8D9D-CAF4C99A8C73}"/>
            </c:ext>
          </c:extLst>
        </c:ser>
        <c:ser>
          <c:idx val="2"/>
          <c:order val="2"/>
          <c:tx>
            <c:strRef>
              <c:f>Powercurve!$G$28</c:f>
              <c:strCache>
                <c:ptCount val="1"/>
                <c:pt idx="0">
                  <c:v>70 /min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Powercurve!$G$29:$G$37</c:f>
              <c:numCache>
                <c:formatCode>0" W"</c:formatCode>
                <c:ptCount val="9"/>
                <c:pt idx="0">
                  <c:v>140.1</c:v>
                </c:pt>
                <c:pt idx="1">
                  <c:v>175</c:v>
                </c:pt>
                <c:pt idx="2">
                  <c:v>209.9</c:v>
                </c:pt>
                <c:pt idx="3">
                  <c:v>244.8</c:v>
                </c:pt>
                <c:pt idx="4">
                  <c:v>279.7</c:v>
                </c:pt>
                <c:pt idx="5">
                  <c:v>314.5</c:v>
                </c:pt>
                <c:pt idx="6">
                  <c:v>349.4</c:v>
                </c:pt>
                <c:pt idx="7">
                  <c:v>384.3</c:v>
                </c:pt>
                <c:pt idx="8">
                  <c:v>419.2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4-4D44-8D9D-CAF4C99A8C73}"/>
            </c:ext>
          </c:extLst>
        </c:ser>
        <c:ser>
          <c:idx val="3"/>
          <c:order val="3"/>
          <c:tx>
            <c:strRef>
              <c:f>Powercurve!$H$28</c:f>
              <c:strCache>
                <c:ptCount val="1"/>
                <c:pt idx="0">
                  <c:v>80 /min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Powercurve!$H$29:$H$37</c:f>
              <c:numCache>
                <c:formatCode>0" W"</c:formatCode>
                <c:ptCount val="9"/>
                <c:pt idx="0">
                  <c:v>160.1</c:v>
                </c:pt>
                <c:pt idx="1">
                  <c:v>200</c:v>
                </c:pt>
                <c:pt idx="2">
                  <c:v>239.8</c:v>
                </c:pt>
                <c:pt idx="3">
                  <c:v>279.7</c:v>
                </c:pt>
                <c:pt idx="4">
                  <c:v>319.60000000000002</c:v>
                </c:pt>
                <c:pt idx="5">
                  <c:v>359.5</c:v>
                </c:pt>
                <c:pt idx="6">
                  <c:v>399.3</c:v>
                </c:pt>
                <c:pt idx="7">
                  <c:v>439.2</c:v>
                </c:pt>
                <c:pt idx="8">
                  <c:v>479.1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4-4D44-8D9D-CAF4C99A8C73}"/>
            </c:ext>
          </c:extLst>
        </c:ser>
        <c:ser>
          <c:idx val="4"/>
          <c:order val="4"/>
          <c:tx>
            <c:strRef>
              <c:f>Powercurve!$I$28</c:f>
              <c:strCache>
                <c:ptCount val="1"/>
                <c:pt idx="0">
                  <c:v>90 /min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Powercurve!$I$29:$I$37</c:f>
              <c:numCache>
                <c:formatCode>0" W"</c:formatCode>
                <c:ptCount val="9"/>
                <c:pt idx="0">
                  <c:v>180.1</c:v>
                </c:pt>
                <c:pt idx="1">
                  <c:v>225</c:v>
                </c:pt>
                <c:pt idx="2">
                  <c:v>269.8</c:v>
                </c:pt>
                <c:pt idx="3">
                  <c:v>314.7</c:v>
                </c:pt>
                <c:pt idx="4">
                  <c:v>359.5</c:v>
                </c:pt>
                <c:pt idx="5">
                  <c:v>404.4</c:v>
                </c:pt>
                <c:pt idx="6">
                  <c:v>449.2</c:v>
                </c:pt>
                <c:pt idx="7">
                  <c:v>494.1</c:v>
                </c:pt>
                <c:pt idx="8">
                  <c:v>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4-4D44-8D9D-CAF4C99A8C73}"/>
            </c:ext>
          </c:extLst>
        </c:ser>
        <c:ser>
          <c:idx val="5"/>
          <c:order val="5"/>
          <c:tx>
            <c:strRef>
              <c:f>Powercurve!$J$28</c:f>
              <c:strCache>
                <c:ptCount val="1"/>
                <c:pt idx="0">
                  <c:v>100 /min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Powercurve!$D$29:$D$37</c:f>
              <c:numCache>
                <c:formatCode>General" %"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cat>
          <c:val>
            <c:numRef>
              <c:f>Powercurve!$J$29:$J$37</c:f>
              <c:numCache>
                <c:formatCode>0" W"</c:formatCode>
                <c:ptCount val="9"/>
                <c:pt idx="0">
                  <c:v>200.1</c:v>
                </c:pt>
                <c:pt idx="1">
                  <c:v>250</c:v>
                </c:pt>
                <c:pt idx="2">
                  <c:v>299.8</c:v>
                </c:pt>
                <c:pt idx="3">
                  <c:v>349.7</c:v>
                </c:pt>
                <c:pt idx="4">
                  <c:v>399.5</c:v>
                </c:pt>
                <c:pt idx="5">
                  <c:v>449.3</c:v>
                </c:pt>
                <c:pt idx="6">
                  <c:v>499.2</c:v>
                </c:pt>
                <c:pt idx="7">
                  <c:v>549</c:v>
                </c:pt>
                <c:pt idx="8">
                  <c:v>598.9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4-4D44-8D9D-CAF4C99A8C73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97820824"/>
        <c:axId val="697818856"/>
        <c:axId val="685349720"/>
      </c:surface3DChart>
      <c:catAx>
        <c:axId val="69782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&quot; %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auto val="1"/>
        <c:lblAlgn val="ctr"/>
        <c:lblOffset val="100"/>
        <c:noMultiLvlLbl val="0"/>
      </c:catAx>
      <c:valAx>
        <c:axId val="69781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W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20824"/>
        <c:crosses val="autoZero"/>
        <c:crossBetween val="midCat"/>
      </c:valAx>
      <c:serAx>
        <c:axId val="685349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97818856"/>
        <c:crosses val="autoZero"/>
        <c:tickLblSkip val="1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and cadence at a defined speed/slope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ndard"/>
        <c:varyColors val="0"/>
        <c:ser>
          <c:idx val="5"/>
          <c:order val="0"/>
          <c:tx>
            <c:strRef>
              <c:f>'Speed To Power'!$F$9</c:f>
              <c:strCache>
                <c:ptCount val="1"/>
                <c:pt idx="0">
                  <c:v>Light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  <a:alpha val="30000"/>
              </a:schemeClr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Power'!$G$9:$P$9</c:f>
              <c:numCache>
                <c:formatCode>General</c:formatCode>
                <c:ptCount val="10"/>
                <c:pt idx="0">
                  <c:v>29</c:v>
                </c:pt>
                <c:pt idx="1">
                  <c:v>58</c:v>
                </c:pt>
                <c:pt idx="2">
                  <c:v>88</c:v>
                </c:pt>
                <c:pt idx="3">
                  <c:v>117</c:v>
                </c:pt>
                <c:pt idx="4">
                  <c:v>146</c:v>
                </c:pt>
                <c:pt idx="5">
                  <c:v>175</c:v>
                </c:pt>
                <c:pt idx="6">
                  <c:v>205</c:v>
                </c:pt>
                <c:pt idx="7">
                  <c:v>234</c:v>
                </c:pt>
                <c:pt idx="8">
                  <c:v>263</c:v>
                </c:pt>
                <c:pt idx="9">
                  <c:v>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2-432F-95A1-A8243A199C96}"/>
            </c:ext>
          </c:extLst>
        </c:ser>
        <c:ser>
          <c:idx val="6"/>
          <c:order val="1"/>
          <c:tx>
            <c:strRef>
              <c:f>'Speed To Power'!$F$10</c:f>
              <c:strCache>
                <c:ptCount val="1"/>
                <c:pt idx="0">
                  <c:v>Heavy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FF"/>
              </a:solidFill>
            </a:ln>
            <a:effectLst/>
          </c:spP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Power'!$G$10:$P$10</c:f>
              <c:numCache>
                <c:formatCode>General</c:formatCode>
                <c:ptCount val="10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83</c:v>
                </c:pt>
                <c:pt idx="7">
                  <c:v>95</c:v>
                </c:pt>
                <c:pt idx="8">
                  <c:v>107</c:v>
                </c:pt>
                <c:pt idx="9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728280"/>
        <c:axId val="618724672"/>
      </c:areaChart>
      <c:lineChart>
        <c:grouping val="standard"/>
        <c:varyColors val="0"/>
        <c:ser>
          <c:idx val="4"/>
          <c:order val="2"/>
          <c:tx>
            <c:strRef>
              <c:f>'Speed To Power'!$F$8</c:f>
              <c:strCache>
                <c:ptCount val="1"/>
                <c:pt idx="0">
                  <c:v>ftp</c:v>
                </c:pt>
              </c:strCache>
            </c:strRef>
          </c:tx>
          <c:spPr>
            <a:ln w="2857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02-432F-95A1-A8243A199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Power'!$G$8:$P$8</c:f>
              <c:numCache>
                <c:formatCode>0</c:formatCode>
                <c:ptCount val="1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02-432F-95A1-A8243A199C96}"/>
            </c:ext>
          </c:extLst>
        </c:ser>
        <c:ser>
          <c:idx val="0"/>
          <c:order val="3"/>
          <c:tx>
            <c:strRef>
              <c:f>'Speed To Power'!$F$4</c:f>
              <c:strCache>
                <c:ptCount val="1"/>
                <c:pt idx="0">
                  <c:v>-5 %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Power'!$G$4:$P$4</c:f>
              <c:numCache>
                <c:formatCode>0</c:formatCode>
                <c:ptCount val="10"/>
                <c:pt idx="0">
                  <c:v>-18.923237525720168</c:v>
                </c:pt>
                <c:pt idx="1">
                  <c:v>-71.940900205761324</c:v>
                </c:pt>
                <c:pt idx="2">
                  <c:v>-119.14741319444448</c:v>
                </c:pt>
                <c:pt idx="3">
                  <c:v>-157.63720164609055</c:v>
                </c:pt>
                <c:pt idx="4">
                  <c:v>-184.50469071502062</c:v>
                </c:pt>
                <c:pt idx="5">
                  <c:v>-196.84430555555559</c:v>
                </c:pt>
                <c:pt idx="6">
                  <c:v>-191.75047132201652</c:v>
                </c:pt>
                <c:pt idx="7">
                  <c:v>-166.31761316872434</c:v>
                </c:pt>
                <c:pt idx="8">
                  <c:v>-117.64015625000002</c:v>
                </c:pt>
                <c:pt idx="9">
                  <c:v>-42.812525720164786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02-432F-95A1-A8243A199C96}"/>
            </c:ext>
          </c:extLst>
        </c:ser>
        <c:ser>
          <c:idx val="1"/>
          <c:order val="4"/>
          <c:tx>
            <c:strRef>
              <c:f>'Speed To Power'!$F$5</c:f>
              <c:strCache>
                <c:ptCount val="1"/>
                <c:pt idx="0">
                  <c:v>0 %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Power'!$G$5:$P$5</c:f>
              <c:numCache>
                <c:formatCode>0</c:formatCode>
                <c:ptCount val="10"/>
                <c:pt idx="0">
                  <c:v>42.389262474279832</c:v>
                </c:pt>
                <c:pt idx="1">
                  <c:v>50.684099794238684</c:v>
                </c:pt>
                <c:pt idx="2">
                  <c:v>64.790086805555561</c:v>
                </c:pt>
                <c:pt idx="3">
                  <c:v>87.612798353909454</c:v>
                </c:pt>
                <c:pt idx="4">
                  <c:v>122.05780928497943</c:v>
                </c:pt>
                <c:pt idx="5">
                  <c:v>171.03069444444446</c:v>
                </c:pt>
                <c:pt idx="6">
                  <c:v>237.43702867798348</c:v>
                </c:pt>
                <c:pt idx="7">
                  <c:v>324.18238683127566</c:v>
                </c:pt>
                <c:pt idx="8">
                  <c:v>434.17234374999998</c:v>
                </c:pt>
                <c:pt idx="9">
                  <c:v>570.31247427983533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02-432F-95A1-A8243A199C96}"/>
            </c:ext>
          </c:extLst>
        </c:ser>
        <c:ser>
          <c:idx val="2"/>
          <c:order val="5"/>
          <c:tx>
            <c:strRef>
              <c:f>'Speed To Power'!$F$6</c:f>
              <c:strCache>
                <c:ptCount val="1"/>
                <c:pt idx="0">
                  <c:v>5 %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Power'!$G$6:$P$6</c:f>
              <c:numCache>
                <c:formatCode>0</c:formatCode>
                <c:ptCount val="10"/>
                <c:pt idx="0">
                  <c:v>103.70176247427983</c:v>
                </c:pt>
                <c:pt idx="1">
                  <c:v>173.30909979423868</c:v>
                </c:pt>
                <c:pt idx="2">
                  <c:v>248.72758680555557</c:v>
                </c:pt>
                <c:pt idx="3">
                  <c:v>332.86279835390945</c:v>
                </c:pt>
                <c:pt idx="4">
                  <c:v>428.6203092849795</c:v>
                </c:pt>
                <c:pt idx="5">
                  <c:v>538.90569444444452</c:v>
                </c:pt>
                <c:pt idx="6">
                  <c:v>666.62452867798345</c:v>
                </c:pt>
                <c:pt idx="7">
                  <c:v>814.68238683127561</c:v>
                </c:pt>
                <c:pt idx="8">
                  <c:v>985.98484374999998</c:v>
                </c:pt>
                <c:pt idx="9">
                  <c:v>1183.4374742798354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02-432F-95A1-A8243A199C96}"/>
            </c:ext>
          </c:extLst>
        </c:ser>
        <c:ser>
          <c:idx val="3"/>
          <c:order val="6"/>
          <c:tx>
            <c:strRef>
              <c:f>'Speed To Power'!$F$7</c:f>
              <c:strCache>
                <c:ptCount val="1"/>
                <c:pt idx="0">
                  <c:v>10 %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'Speed To Power'!$G$3:$P$3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cat>
          <c:val>
            <c:numRef>
              <c:f>'Speed To Power'!$G$7:$P$7</c:f>
              <c:numCache>
                <c:formatCode>0</c:formatCode>
                <c:ptCount val="10"/>
                <c:pt idx="0">
                  <c:v>165.01426247427983</c:v>
                </c:pt>
                <c:pt idx="1">
                  <c:v>295.9340997942387</c:v>
                </c:pt>
                <c:pt idx="2">
                  <c:v>432.66508680555563</c:v>
                </c:pt>
                <c:pt idx="3">
                  <c:v>578.11279835390951</c:v>
                </c:pt>
                <c:pt idx="4">
                  <c:v>735.1828092849795</c:v>
                </c:pt>
                <c:pt idx="5">
                  <c:v>906.78069444444463</c:v>
                </c:pt>
                <c:pt idx="6">
                  <c:v>1095.8120286779836</c:v>
                </c:pt>
                <c:pt idx="7">
                  <c:v>1305.1823868312756</c:v>
                </c:pt>
                <c:pt idx="8">
                  <c:v>1537.79734375</c:v>
                </c:pt>
                <c:pt idx="9">
                  <c:v>1796.5624742798354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02-432F-95A1-A8243A199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71600"/>
        <c:axId val="646772912"/>
      </c:lineChart>
      <c:catAx>
        <c:axId val="64677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2912"/>
        <c:crosses val="autoZero"/>
        <c:auto val="1"/>
        <c:lblAlgn val="ctr"/>
        <c:lblOffset val="100"/>
        <c:noMultiLvlLbl val="0"/>
      </c:catAx>
      <c:valAx>
        <c:axId val="64677291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46771600"/>
        <c:crosses val="autoZero"/>
        <c:crossBetween val="between"/>
      </c:valAx>
      <c:valAx>
        <c:axId val="618724672"/>
        <c:scaling>
          <c:orientation val="minMax"/>
          <c:max val="1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8728280"/>
        <c:crosses val="max"/>
        <c:crossBetween val="between"/>
        <c:majorUnit val="15"/>
      </c:valAx>
      <c:catAx>
        <c:axId val="61872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24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39370078740157483" l="0.39370078740157483" r="0.39370078740157483" t="0.39370078740157483" header="0.31496062992125984" footer="0.31496062992125984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T1901+T1902'!$D$1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T1901+T1902'!$D$2:$D$26</c:f>
              <c:numCache>
                <c:formatCode>General</c:formatCode>
                <c:ptCount val="2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38</c:v>
                </c:pt>
                <c:pt idx="8">
                  <c:v>40</c:v>
                </c:pt>
                <c:pt idx="9">
                  <c:v>42</c:v>
                </c:pt>
                <c:pt idx="10">
                  <c:v>48</c:v>
                </c:pt>
                <c:pt idx="11">
                  <c:v>50</c:v>
                </c:pt>
                <c:pt idx="12">
                  <c:v>50</c:v>
                </c:pt>
                <c:pt idx="13">
                  <c:v>52</c:v>
                </c:pt>
                <c:pt idx="14">
                  <c:v>58</c:v>
                </c:pt>
                <c:pt idx="15">
                  <c:v>60</c:v>
                </c:pt>
                <c:pt idx="16">
                  <c:v>65</c:v>
                </c:pt>
                <c:pt idx="17">
                  <c:v>68</c:v>
                </c:pt>
                <c:pt idx="18">
                  <c:v>70</c:v>
                </c:pt>
                <c:pt idx="19">
                  <c:v>72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A-4C54-9B47-545FEF6A26F1}"/>
            </c:ext>
          </c:extLst>
        </c:ser>
        <c:ser>
          <c:idx val="1"/>
          <c:order val="1"/>
          <c:tx>
            <c:strRef>
              <c:f>'iMagic T1901+T1902'!$E$1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T1901+T1902'!$E$2:$E$26</c:f>
              <c:numCache>
                <c:formatCode>General</c:formatCode>
                <c:ptCount val="2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89</c:v>
                </c:pt>
                <c:pt idx="4">
                  <c:v>89</c:v>
                </c:pt>
                <c:pt idx="5">
                  <c:v>93</c:v>
                </c:pt>
                <c:pt idx="6">
                  <c:v>100</c:v>
                </c:pt>
                <c:pt idx="7">
                  <c:v>105</c:v>
                </c:pt>
                <c:pt idx="8">
                  <c:v>112</c:v>
                </c:pt>
                <c:pt idx="9">
                  <c:v>128</c:v>
                </c:pt>
                <c:pt idx="10">
                  <c:v>139</c:v>
                </c:pt>
                <c:pt idx="11">
                  <c:v>142</c:v>
                </c:pt>
                <c:pt idx="12">
                  <c:v>145</c:v>
                </c:pt>
                <c:pt idx="13">
                  <c:v>152</c:v>
                </c:pt>
                <c:pt idx="14">
                  <c:v>162</c:v>
                </c:pt>
                <c:pt idx="15">
                  <c:v>180</c:v>
                </c:pt>
                <c:pt idx="16">
                  <c:v>190</c:v>
                </c:pt>
                <c:pt idx="17">
                  <c:v>198</c:v>
                </c:pt>
                <c:pt idx="18">
                  <c:v>207</c:v>
                </c:pt>
                <c:pt idx="19">
                  <c:v>207</c:v>
                </c:pt>
                <c:pt idx="20">
                  <c:v>210</c:v>
                </c:pt>
                <c:pt idx="21">
                  <c:v>210</c:v>
                </c:pt>
                <c:pt idx="22">
                  <c:v>210</c:v>
                </c:pt>
                <c:pt idx="23">
                  <c:v>210</c:v>
                </c:pt>
                <c:pt idx="24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FA-4C54-9B47-545FEF6A26F1}"/>
            </c:ext>
          </c:extLst>
        </c:ser>
        <c:ser>
          <c:idx val="2"/>
          <c:order val="2"/>
          <c:tx>
            <c:strRef>
              <c:f>'iMagic T1901+T1902'!$F$1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T1901+T1902'!$F$2:$F$26</c:f>
              <c:numCache>
                <c:formatCode>General</c:formatCode>
                <c:ptCount val="25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193</c:v>
                </c:pt>
                <c:pt idx="9">
                  <c:v>210</c:v>
                </c:pt>
                <c:pt idx="10">
                  <c:v>230</c:v>
                </c:pt>
                <c:pt idx="11">
                  <c:v>235</c:v>
                </c:pt>
                <c:pt idx="12">
                  <c:v>245</c:v>
                </c:pt>
                <c:pt idx="13">
                  <c:v>250</c:v>
                </c:pt>
                <c:pt idx="14">
                  <c:v>265</c:v>
                </c:pt>
                <c:pt idx="15">
                  <c:v>285</c:v>
                </c:pt>
                <c:pt idx="16">
                  <c:v>310</c:v>
                </c:pt>
                <c:pt idx="17">
                  <c:v>332</c:v>
                </c:pt>
                <c:pt idx="18">
                  <c:v>340</c:v>
                </c:pt>
                <c:pt idx="19">
                  <c:v>365</c:v>
                </c:pt>
                <c:pt idx="20">
                  <c:v>370</c:v>
                </c:pt>
                <c:pt idx="21">
                  <c:v>390</c:v>
                </c:pt>
                <c:pt idx="22">
                  <c:v>390</c:v>
                </c:pt>
                <c:pt idx="23">
                  <c:v>390</c:v>
                </c:pt>
                <c:pt idx="24">
                  <c:v>390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A-4C54-9B47-545FEF6A26F1}"/>
            </c:ext>
          </c:extLst>
        </c:ser>
        <c:ser>
          <c:idx val="3"/>
          <c:order val="3"/>
          <c:tx>
            <c:strRef>
              <c:f>'iMagic T1901+T1902'!$G$1</c:f>
              <c:strCache>
                <c:ptCount val="1"/>
                <c:pt idx="0">
                  <c:v>40 km/hr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T1901+T1902'!$C$2:$C$26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</c:numCache>
            </c:numRef>
          </c:cat>
          <c:val>
            <c:numRef>
              <c:f>'iMagic T1901+T1902'!$G$2:$G$26</c:f>
              <c:numCache>
                <c:formatCode>General</c:formatCode>
                <c:ptCount val="25"/>
                <c:pt idx="0">
                  <c:v>190</c:v>
                </c:pt>
                <c:pt idx="1">
                  <c:v>190</c:v>
                </c:pt>
                <c:pt idx="2">
                  <c:v>190</c:v>
                </c:pt>
                <c:pt idx="3">
                  <c:v>190</c:v>
                </c:pt>
                <c:pt idx="4">
                  <c:v>210</c:v>
                </c:pt>
                <c:pt idx="9">
                  <c:v>310</c:v>
                </c:pt>
                <c:pt idx="14">
                  <c:v>410</c:v>
                </c:pt>
                <c:pt idx="19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FA-4C54-9B47-545FEF6A2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171576"/>
        <c:axId val="396169608"/>
      </c:lineChart>
      <c:catAx>
        <c:axId val="3961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69608"/>
        <c:crosses val="autoZero"/>
        <c:auto val="1"/>
        <c:lblAlgn val="ctr"/>
        <c:lblOffset val="100"/>
        <c:noMultiLvlLbl val="0"/>
      </c:catAx>
      <c:valAx>
        <c:axId val="396169608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3961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'iMagic T1901+T1902'!$D$29</c:f>
              <c:strCache>
                <c:ptCount val="1"/>
                <c:pt idx="0">
                  <c:v>10 km/hr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T1901+T1902'!$D$30:$D$45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37-4CE2-8679-388A7375F12C}"/>
            </c:ext>
          </c:extLst>
        </c:ser>
        <c:ser>
          <c:idx val="1"/>
          <c:order val="1"/>
          <c:tx>
            <c:strRef>
              <c:f>'iMagic T1901+T1902'!$E$29</c:f>
              <c:strCache>
                <c:ptCount val="1"/>
                <c:pt idx="0">
                  <c:v>20 km/hr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T1901+T1902'!$E$30:$E$45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37-4CE2-8679-388A7375F12C}"/>
            </c:ext>
          </c:extLst>
        </c:ser>
        <c:ser>
          <c:idx val="2"/>
          <c:order val="2"/>
          <c:tx>
            <c:strRef>
              <c:f>'iMagic T1901+T1902'!$F$29</c:f>
              <c:strCache>
                <c:ptCount val="1"/>
                <c:pt idx="0">
                  <c:v>30 km/hr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T1901+T1902'!$C$30:$C$45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T1901+T1902'!$F$30:$F$45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37-4CE2-8679-388A7375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46976"/>
        <c:axId val="725542384"/>
      </c:lineChart>
      <c:catAx>
        <c:axId val="72554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2384"/>
        <c:crosses val="autoZero"/>
        <c:auto val="1"/>
        <c:lblAlgn val="ctr"/>
        <c:lblOffset val="100"/>
        <c:noMultiLvlLbl val="0"/>
      </c:catAx>
      <c:valAx>
        <c:axId val="7255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2554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iMagic Power / Resistance (R=50…200)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7.1975087624782372E-2"/>
          <c:y val="0.14292870905587668"/>
          <c:w val="0.90027342269432198"/>
          <c:h val="0.60100769195758041"/>
        </c:manualLayout>
      </c:layout>
      <c:lineChart>
        <c:grouping val="standard"/>
        <c:varyColors val="0"/>
        <c:ser>
          <c:idx val="0"/>
          <c:order val="0"/>
          <c:tx>
            <c:strRef>
              <c:f>'iMagic T1901+T1902'!$D$49</c:f>
              <c:strCache>
                <c:ptCount val="1"/>
                <c:pt idx="0">
                  <c:v>10 km/hr PowerMeter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T1901+T1902'!$D$50:$D$65</c:f>
              <c:numCache>
                <c:formatCode>General</c:formatCode>
                <c:ptCount val="16"/>
                <c:pt idx="0">
                  <c:v>32</c:v>
                </c:pt>
                <c:pt idx="1">
                  <c:v>34</c:v>
                </c:pt>
                <c:pt idx="2">
                  <c:v>35</c:v>
                </c:pt>
                <c:pt idx="3">
                  <c:v>38</c:v>
                </c:pt>
                <c:pt idx="4">
                  <c:v>40</c:v>
                </c:pt>
                <c:pt idx="5">
                  <c:v>42</c:v>
                </c:pt>
                <c:pt idx="6">
                  <c:v>48</c:v>
                </c:pt>
                <c:pt idx="7">
                  <c:v>50</c:v>
                </c:pt>
                <c:pt idx="8">
                  <c:v>50</c:v>
                </c:pt>
                <c:pt idx="9">
                  <c:v>52</c:v>
                </c:pt>
                <c:pt idx="10">
                  <c:v>58</c:v>
                </c:pt>
                <c:pt idx="11">
                  <c:v>60</c:v>
                </c:pt>
                <c:pt idx="12">
                  <c:v>65</c:v>
                </c:pt>
                <c:pt idx="13">
                  <c:v>68</c:v>
                </c:pt>
                <c:pt idx="14">
                  <c:v>70</c:v>
                </c:pt>
                <c:pt idx="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1-4444-8179-29F4AC60AF14}"/>
            </c:ext>
          </c:extLst>
        </c:ser>
        <c:ser>
          <c:idx val="1"/>
          <c:order val="1"/>
          <c:tx>
            <c:strRef>
              <c:f>'iMagic T1901+T1902'!$E$49</c:f>
              <c:strCache>
                <c:ptCount val="1"/>
                <c:pt idx="0">
                  <c:v>10 km/hr Formula</c:v>
                </c:pt>
              </c:strCache>
            </c:strRef>
          </c:tx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T1901+T1902'!$E$50:$E$65</c:f>
              <c:numCache>
                <c:formatCode>General</c:formatCode>
                <c:ptCount val="16"/>
                <c:pt idx="0">
                  <c:v>35.098453744201912</c:v>
                </c:pt>
                <c:pt idx="1">
                  <c:v>37.718144493042288</c:v>
                </c:pt>
                <c:pt idx="2">
                  <c:v>40.337835241882672</c:v>
                </c:pt>
                <c:pt idx="3">
                  <c:v>42.957525990723056</c:v>
                </c:pt>
                <c:pt idx="4">
                  <c:v>45.57721673956344</c:v>
                </c:pt>
                <c:pt idx="5">
                  <c:v>48.196907488403824</c:v>
                </c:pt>
                <c:pt idx="6">
                  <c:v>50.8165982372442</c:v>
                </c:pt>
                <c:pt idx="7">
                  <c:v>53.436288986084584</c:v>
                </c:pt>
                <c:pt idx="8">
                  <c:v>56.055979734924968</c:v>
                </c:pt>
                <c:pt idx="9">
                  <c:v>58.675670483765344</c:v>
                </c:pt>
                <c:pt idx="10">
                  <c:v>61.295361232605728</c:v>
                </c:pt>
                <c:pt idx="11">
                  <c:v>63.915051981446112</c:v>
                </c:pt>
                <c:pt idx="12">
                  <c:v>66.534742730286496</c:v>
                </c:pt>
                <c:pt idx="13">
                  <c:v>69.15443347912688</c:v>
                </c:pt>
                <c:pt idx="14">
                  <c:v>71.774124227967263</c:v>
                </c:pt>
                <c:pt idx="15">
                  <c:v>74.393814976807647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11-4444-8179-29F4AC60AF14}"/>
            </c:ext>
          </c:extLst>
        </c:ser>
        <c:ser>
          <c:idx val="2"/>
          <c:order val="2"/>
          <c:tx>
            <c:strRef>
              <c:f>'iMagic T1901+T1902'!$F$49</c:f>
              <c:strCache>
                <c:ptCount val="1"/>
                <c:pt idx="0">
                  <c:v>20 km/hr PowerMeter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T1901+T1902'!$F$50:$F$65</c:f>
              <c:numCache>
                <c:formatCode>General</c:formatCode>
                <c:ptCount val="16"/>
                <c:pt idx="0">
                  <c:v>89</c:v>
                </c:pt>
                <c:pt idx="1">
                  <c:v>93</c:v>
                </c:pt>
                <c:pt idx="2">
                  <c:v>100</c:v>
                </c:pt>
                <c:pt idx="3">
                  <c:v>105</c:v>
                </c:pt>
                <c:pt idx="4">
                  <c:v>112</c:v>
                </c:pt>
                <c:pt idx="5">
                  <c:v>128</c:v>
                </c:pt>
                <c:pt idx="6">
                  <c:v>139</c:v>
                </c:pt>
                <c:pt idx="7">
                  <c:v>142</c:v>
                </c:pt>
                <c:pt idx="8">
                  <c:v>145</c:v>
                </c:pt>
                <c:pt idx="9">
                  <c:v>152</c:v>
                </c:pt>
                <c:pt idx="10">
                  <c:v>162</c:v>
                </c:pt>
                <c:pt idx="11">
                  <c:v>180</c:v>
                </c:pt>
                <c:pt idx="12">
                  <c:v>190</c:v>
                </c:pt>
                <c:pt idx="13">
                  <c:v>198</c:v>
                </c:pt>
                <c:pt idx="14">
                  <c:v>207</c:v>
                </c:pt>
                <c:pt idx="15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11-4444-8179-29F4AC60AF14}"/>
            </c:ext>
          </c:extLst>
        </c:ser>
        <c:ser>
          <c:idx val="3"/>
          <c:order val="3"/>
          <c:tx>
            <c:strRef>
              <c:f>'iMagic T1901+T1902'!$G$49</c:f>
              <c:strCache>
                <c:ptCount val="1"/>
                <c:pt idx="0">
                  <c:v>20 km/hr Formula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T1901+T1902'!$G$50:$G$65</c:f>
              <c:numCache>
                <c:formatCode>General</c:formatCode>
                <c:ptCount val="16"/>
                <c:pt idx="0">
                  <c:v>80.339006253835919</c:v>
                </c:pt>
                <c:pt idx="1">
                  <c:v>87.606807504603097</c:v>
                </c:pt>
                <c:pt idx="2">
                  <c:v>94.874608755370289</c:v>
                </c:pt>
                <c:pt idx="3">
                  <c:v>102.14241000613748</c:v>
                </c:pt>
                <c:pt idx="4">
                  <c:v>109.41021125690466</c:v>
                </c:pt>
                <c:pt idx="5">
                  <c:v>116.67801250767184</c:v>
                </c:pt>
                <c:pt idx="6">
                  <c:v>123.94581375843903</c:v>
                </c:pt>
                <c:pt idx="7">
                  <c:v>131.21361500920619</c:v>
                </c:pt>
                <c:pt idx="8">
                  <c:v>138.4814162599734</c:v>
                </c:pt>
                <c:pt idx="9">
                  <c:v>145.74921751074058</c:v>
                </c:pt>
                <c:pt idx="10">
                  <c:v>153.01701876150776</c:v>
                </c:pt>
                <c:pt idx="11">
                  <c:v>160.28482001227496</c:v>
                </c:pt>
                <c:pt idx="12">
                  <c:v>167.55262126304211</c:v>
                </c:pt>
                <c:pt idx="13">
                  <c:v>174.82042251380932</c:v>
                </c:pt>
                <c:pt idx="14">
                  <c:v>182.0882237645765</c:v>
                </c:pt>
                <c:pt idx="15">
                  <c:v>189.35602501534368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11-4444-8179-29F4AC60AF14}"/>
            </c:ext>
          </c:extLst>
        </c:ser>
        <c:ser>
          <c:idx val="4"/>
          <c:order val="4"/>
          <c:tx>
            <c:strRef>
              <c:f>'iMagic T1901+T1902'!$H$49</c:f>
              <c:strCache>
                <c:ptCount val="1"/>
                <c:pt idx="0">
                  <c:v>30 km/hr PowerMeter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T1901+T1902'!$H$50:$H$65</c:f>
              <c:numCache>
                <c:formatCode>General</c:formatCode>
                <c:ptCount val="16"/>
                <c:pt idx="0">
                  <c:v>140</c:v>
                </c:pt>
                <c:pt idx="1">
                  <c:v>150</c:v>
                </c:pt>
                <c:pt idx="2">
                  <c:v>160</c:v>
                </c:pt>
                <c:pt idx="3">
                  <c:v>170</c:v>
                </c:pt>
                <c:pt idx="4">
                  <c:v>193</c:v>
                </c:pt>
                <c:pt idx="5">
                  <c:v>210</c:v>
                </c:pt>
                <c:pt idx="6">
                  <c:v>230</c:v>
                </c:pt>
                <c:pt idx="7">
                  <c:v>235</c:v>
                </c:pt>
                <c:pt idx="8">
                  <c:v>245</c:v>
                </c:pt>
                <c:pt idx="9">
                  <c:v>250</c:v>
                </c:pt>
                <c:pt idx="10">
                  <c:v>265</c:v>
                </c:pt>
                <c:pt idx="11">
                  <c:v>285</c:v>
                </c:pt>
                <c:pt idx="12">
                  <c:v>310</c:v>
                </c:pt>
                <c:pt idx="13">
                  <c:v>332</c:v>
                </c:pt>
                <c:pt idx="14">
                  <c:v>340</c:v>
                </c:pt>
                <c:pt idx="15">
                  <c:v>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11-4444-8179-29F4AC60AF14}"/>
            </c:ext>
          </c:extLst>
        </c:ser>
        <c:ser>
          <c:idx val="5"/>
          <c:order val="5"/>
          <c:tx>
            <c:strRef>
              <c:f>'iMagic T1901+T1902'!$I$49</c:f>
              <c:strCache>
                <c:ptCount val="1"/>
                <c:pt idx="0">
                  <c:v>30 km/hr Formula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'iMagic T1901+T1902'!$C$50:$C$65</c:f>
              <c:numCache>
                <c:formatCode>General</c:formatCode>
                <c:ptCount val="1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</c:numCache>
            </c:numRef>
          </c:cat>
          <c:val>
            <c:numRef>
              <c:f>'iMagic T1901+T1902'!$I$50:$I$65</c:f>
              <c:numCache>
                <c:formatCode>General</c:formatCode>
                <c:ptCount val="16"/>
                <c:pt idx="0">
                  <c:v>141.01165752890202</c:v>
                </c:pt>
                <c:pt idx="1">
                  <c:v>156.01398903468242</c:v>
                </c:pt>
                <c:pt idx="2">
                  <c:v>171.01632054046283</c:v>
                </c:pt>
                <c:pt idx="3">
                  <c:v>186.01865204624323</c:v>
                </c:pt>
                <c:pt idx="4">
                  <c:v>201.02098355202364</c:v>
                </c:pt>
                <c:pt idx="5">
                  <c:v>216.02331505780404</c:v>
                </c:pt>
                <c:pt idx="6">
                  <c:v>231.02564656358444</c:v>
                </c:pt>
                <c:pt idx="7">
                  <c:v>246.02797806936485</c:v>
                </c:pt>
                <c:pt idx="8">
                  <c:v>261.03030957514522</c:v>
                </c:pt>
                <c:pt idx="9">
                  <c:v>276.03264108092566</c:v>
                </c:pt>
                <c:pt idx="10">
                  <c:v>291.03497258670609</c:v>
                </c:pt>
                <c:pt idx="11">
                  <c:v>306.03730409248647</c:v>
                </c:pt>
                <c:pt idx="12">
                  <c:v>321.03963559826684</c:v>
                </c:pt>
                <c:pt idx="13">
                  <c:v>336.04196710404727</c:v>
                </c:pt>
                <c:pt idx="14">
                  <c:v>351.04429860982771</c:v>
                </c:pt>
                <c:pt idx="15">
                  <c:v>366.04663011560808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11-4444-8179-29F4AC60A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277312"/>
        <c:axId val="602121776"/>
      </c:lineChart>
      <c:catAx>
        <c:axId val="7162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02121776"/>
        <c:crosses val="autoZero"/>
        <c:auto val="1"/>
        <c:lblAlgn val="ctr"/>
        <c:lblOffset val="100"/>
        <c:noMultiLvlLbl val="0"/>
      </c:catAx>
      <c:valAx>
        <c:axId val="60212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71627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364930698749535"/>
          <c:y val="0.82128897182649852"/>
          <c:w val="0.62371264474676413"/>
          <c:h val="0.15022469012182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</xdr:colOff>
      <xdr:row>26</xdr:row>
      <xdr:rowOff>19050</xdr:rowOff>
    </xdr:from>
    <xdr:to>
      <xdr:col>1</xdr:col>
      <xdr:colOff>5021580</xdr:colOff>
      <xdr:row>42</xdr:row>
      <xdr:rowOff>121920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39</xdr:row>
          <xdr:rowOff>7620</xdr:rowOff>
        </xdr:from>
        <xdr:to>
          <xdr:col>3</xdr:col>
          <xdr:colOff>792480</xdr:colOff>
          <xdr:row>39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Single speed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40</xdr:row>
          <xdr:rowOff>22860</xdr:rowOff>
        </xdr:from>
        <xdr:to>
          <xdr:col>3</xdr:col>
          <xdr:colOff>792480</xdr:colOff>
          <xdr:row>40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Cassette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41</xdr:row>
          <xdr:rowOff>22860</xdr:rowOff>
        </xdr:from>
        <xdr:to>
          <xdr:col>3</xdr:col>
          <xdr:colOff>792480</xdr:colOff>
          <xdr:row>41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gear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15</xdr:row>
      <xdr:rowOff>0</xdr:rowOff>
    </xdr:from>
    <xdr:to>
      <xdr:col>16</xdr:col>
      <xdr:colOff>160020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14286</xdr:colOff>
      <xdr:row>1</xdr:row>
      <xdr:rowOff>9525</xdr:rowOff>
    </xdr:from>
    <xdr:to>
      <xdr:col>18</xdr:col>
      <xdr:colOff>180974</xdr:colOff>
      <xdr:row>16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4761</xdr:colOff>
      <xdr:row>28</xdr:row>
      <xdr:rowOff>9525</xdr:rowOff>
    </xdr:from>
    <xdr:to>
      <xdr:col>18</xdr:col>
      <xdr:colOff>180974</xdr:colOff>
      <xdr:row>43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604836</xdr:colOff>
      <xdr:row>46</xdr:row>
      <xdr:rowOff>179070</xdr:rowOff>
    </xdr:from>
    <xdr:to>
      <xdr:col>18</xdr:col>
      <xdr:colOff>152400</xdr:colOff>
      <xdr:row>65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s/Tacx/FortiusANT/Development/FortiusA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x R"/>
      <sheetName val="Grade2Resistance"/>
    </sheetNames>
    <sheetDataSet>
      <sheetData sheetId="0" refreshError="1"/>
      <sheetData sheetId="1" refreshError="1"/>
      <sheetData sheetId="2">
        <row r="2">
          <cell r="D2">
            <v>200</v>
          </cell>
        </row>
        <row r="3">
          <cell r="D3">
            <v>100</v>
          </cell>
        </row>
        <row r="4">
          <cell r="D4">
            <v>150</v>
          </cell>
        </row>
        <row r="5">
          <cell r="D5">
            <v>2.0960000000000001</v>
          </cell>
        </row>
        <row r="6">
          <cell r="D6">
            <v>50</v>
          </cell>
        </row>
        <row r="7">
          <cell r="D7">
            <v>50</v>
          </cell>
        </row>
        <row r="8">
          <cell r="D8">
            <v>25</v>
          </cell>
        </row>
        <row r="9">
          <cell r="D9">
            <v>15</v>
          </cell>
        </row>
        <row r="11">
          <cell r="D11">
            <v>20</v>
          </cell>
        </row>
        <row r="12">
          <cell r="D12">
            <v>50</v>
          </cell>
        </row>
        <row r="13">
          <cell r="D13">
            <v>2</v>
          </cell>
        </row>
        <row r="14">
          <cell r="D14">
            <v>4.1920000000000002</v>
          </cell>
        </row>
        <row r="15">
          <cell r="D15">
            <v>3785</v>
          </cell>
        </row>
        <row r="16">
          <cell r="D16">
            <v>300</v>
          </cell>
        </row>
        <row r="17">
          <cell r="D17">
            <v>10192</v>
          </cell>
        </row>
        <row r="19">
          <cell r="D19">
            <v>-20</v>
          </cell>
        </row>
        <row r="20">
          <cell r="D20">
            <v>100</v>
          </cell>
        </row>
        <row r="21">
          <cell r="D21">
            <v>3.3333333333333335</v>
          </cell>
        </row>
        <row r="22">
          <cell r="D22">
            <v>6.9866666666666672</v>
          </cell>
        </row>
        <row r="23">
          <cell r="D23">
            <v>12618</v>
          </cell>
        </row>
        <row r="24">
          <cell r="D24">
            <v>200</v>
          </cell>
        </row>
        <row r="25">
          <cell r="D25">
            <v>2044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ets.nl/2016/05/02/de-natuurkunde-van-het-fietse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78B0-6CE0-4E66-BE39-CB12F1CCDBB3}">
  <sheetPr codeName="Sheet4">
    <outlinePr summaryBelow="0" summaryRight="0"/>
  </sheetPr>
  <dimension ref="B1:Q42"/>
  <sheetViews>
    <sheetView topLeftCell="B7" zoomScaleNormal="100" workbookViewId="0">
      <selection activeCell="E29" sqref="E29"/>
    </sheetView>
  </sheetViews>
  <sheetFormatPr defaultColWidth="8.88671875" defaultRowHeight="14.4" outlineLevelRow="1" x14ac:dyDescent="0.3"/>
  <cols>
    <col min="1" max="1" width="1.6640625" style="2" customWidth="1"/>
    <col min="2" max="2" width="74.5546875" style="2" bestFit="1" customWidth="1"/>
    <col min="3" max="4" width="11.6640625" style="2" customWidth="1"/>
    <col min="5" max="16384" width="8.88671875" style="2"/>
  </cols>
  <sheetData>
    <row r="1" spans="2:9" ht="18" x14ac:dyDescent="0.35">
      <c r="B1" s="44" t="s">
        <v>64</v>
      </c>
      <c r="H1" s="10" t="s">
        <v>67</v>
      </c>
    </row>
    <row r="2" spans="2:9" x14ac:dyDescent="0.3">
      <c r="B2" s="2" t="s">
        <v>65</v>
      </c>
      <c r="H2" s="2" t="s">
        <v>66</v>
      </c>
    </row>
    <row r="3" spans="2:9" x14ac:dyDescent="0.3">
      <c r="B3" s="1" t="s">
        <v>38</v>
      </c>
      <c r="C3" s="2" t="s">
        <v>1</v>
      </c>
      <c r="D3" s="47">
        <v>200</v>
      </c>
      <c r="H3" s="2" t="str">
        <f>"-f " &amp;ftp</f>
        <v>-f 200</v>
      </c>
    </row>
    <row r="4" spans="2:9" x14ac:dyDescent="0.3">
      <c r="B4" s="1" t="s">
        <v>54</v>
      </c>
      <c r="C4" s="2" t="s">
        <v>56</v>
      </c>
      <c r="D4" s="48">
        <v>100</v>
      </c>
      <c r="E4" s="2" t="s">
        <v>57</v>
      </c>
      <c r="H4" s="2" t="str">
        <f>"-r " &amp;D5&amp;"/"&amp;D4</f>
        <v>-r 150/100</v>
      </c>
    </row>
    <row r="5" spans="2:9" x14ac:dyDescent="0.3">
      <c r="B5" s="1" t="s">
        <v>53</v>
      </c>
      <c r="C5" s="2" t="s">
        <v>55</v>
      </c>
      <c r="D5" s="48">
        <v>150</v>
      </c>
      <c r="E5" s="2" t="s">
        <v>57</v>
      </c>
      <c r="H5" s="2" t="str">
        <f>"-b " &amp;SUBSTITUTE(tyre,",",".")&amp;","&amp;fL&amp;"/"&amp;fS&amp;","&amp;rL&amp;"/"&amp;rS</f>
        <v>-b 2.096,50/50,15/15</v>
      </c>
    </row>
    <row r="6" spans="2:9" x14ac:dyDescent="0.3">
      <c r="B6" s="1" t="s">
        <v>39</v>
      </c>
      <c r="C6" s="2" t="s">
        <v>2</v>
      </c>
      <c r="D6" s="49">
        <v>2.0960000000000001</v>
      </c>
      <c r="E6" s="2" t="s">
        <v>19</v>
      </c>
    </row>
    <row r="7" spans="2:9" x14ac:dyDescent="0.3">
      <c r="B7" s="1" t="s">
        <v>34</v>
      </c>
      <c r="C7" s="2" t="s">
        <v>3</v>
      </c>
      <c r="D7" s="50">
        <v>50</v>
      </c>
      <c r="E7" s="2" t="s">
        <v>20</v>
      </c>
      <c r="H7" s="10" t="s">
        <v>40</v>
      </c>
    </row>
    <row r="8" spans="2:9" x14ac:dyDescent="0.3">
      <c r="B8" s="1" t="s">
        <v>35</v>
      </c>
      <c r="C8" s="2" t="s">
        <v>4</v>
      </c>
      <c r="D8" s="50">
        <v>50</v>
      </c>
      <c r="E8" s="2" t="s">
        <v>21</v>
      </c>
      <c r="H8" s="11">
        <v>123</v>
      </c>
      <c r="I8" s="2" t="s">
        <v>41</v>
      </c>
    </row>
    <row r="9" spans="2:9" x14ac:dyDescent="0.3">
      <c r="B9" s="1" t="s">
        <v>36</v>
      </c>
      <c r="C9" s="2" t="s">
        <v>5</v>
      </c>
      <c r="D9" s="50">
        <v>15</v>
      </c>
      <c r="E9" s="2" t="s">
        <v>22</v>
      </c>
      <c r="H9" s="12">
        <v>345</v>
      </c>
      <c r="I9" s="2" t="s">
        <v>42</v>
      </c>
    </row>
    <row r="10" spans="2:9" x14ac:dyDescent="0.3">
      <c r="B10" s="1" t="s">
        <v>37</v>
      </c>
      <c r="C10" s="2" t="s">
        <v>6</v>
      </c>
      <c r="D10" s="50">
        <v>15</v>
      </c>
      <c r="E10" s="2" t="s">
        <v>23</v>
      </c>
      <c r="H10" s="13">
        <v>678</v>
      </c>
      <c r="I10" s="2" t="s">
        <v>43</v>
      </c>
    </row>
    <row r="11" spans="2:9" collapsed="1" x14ac:dyDescent="0.3">
      <c r="B11" s="43" t="s">
        <v>58</v>
      </c>
    </row>
    <row r="12" spans="2:9" hidden="1" outlineLevel="1" x14ac:dyDescent="0.3">
      <c r="B12" s="1" t="s">
        <v>24</v>
      </c>
      <c r="C12" s="2" t="s">
        <v>7</v>
      </c>
      <c r="D12" s="5">
        <v>20</v>
      </c>
    </row>
    <row r="13" spans="2:9" hidden="1" outlineLevel="1" x14ac:dyDescent="0.3">
      <c r="B13" s="1" t="s">
        <v>26</v>
      </c>
      <c r="C13" s="2" t="s">
        <v>8</v>
      </c>
      <c r="D13" s="6">
        <v>50</v>
      </c>
    </row>
    <row r="14" spans="2:9" hidden="1" outlineLevel="1" x14ac:dyDescent="0.3">
      <c r="B14" s="1" t="s">
        <v>49</v>
      </c>
      <c r="C14" s="2" t="s">
        <v>50</v>
      </c>
      <c r="D14" s="14">
        <f>fS / rL</f>
        <v>3.3333333333333335</v>
      </c>
    </row>
    <row r="15" spans="2:9" hidden="1" outlineLevel="1" x14ac:dyDescent="0.3">
      <c r="B15" s="1" t="s">
        <v>27</v>
      </c>
      <c r="C15" s="2" t="s">
        <v>9</v>
      </c>
      <c r="D15" s="7">
        <f xml:space="preserve"> tyre * rUp</f>
        <v>6.9866666666666672</v>
      </c>
    </row>
    <row r="16" spans="2:9" hidden="1" outlineLevel="1" x14ac:dyDescent="0.3">
      <c r="B16" s="1" t="s">
        <v>28</v>
      </c>
      <c r="C16" s="2" t="s">
        <v>10</v>
      </c>
      <c r="D16" s="8">
        <f>Speed2Wheel(E16)</f>
        <v>6309</v>
      </c>
      <c r="E16" s="3">
        <f>dUp*rpmUp*60/1000</f>
        <v>20.960000000000004</v>
      </c>
    </row>
    <row r="17" spans="2:17" hidden="1" outlineLevel="1" x14ac:dyDescent="0.3">
      <c r="B17" s="1" t="s">
        <v>29</v>
      </c>
      <c r="C17" s="2" t="s">
        <v>11</v>
      </c>
      <c r="D17" s="4">
        <f>ftp*ftp_Up/100</f>
        <v>300</v>
      </c>
    </row>
    <row r="18" spans="2:17" hidden="1" outlineLevel="1" x14ac:dyDescent="0.3">
      <c r="B18" s="1" t="s">
        <v>30</v>
      </c>
      <c r="C18" s="2" t="s">
        <v>12</v>
      </c>
      <c r="D18" s="9">
        <f>Power2Resistance(P_Up,Wheel2Speed(wUp), rpmUp)</f>
        <v>6116</v>
      </c>
      <c r="E18" s="40" t="s">
        <v>52</v>
      </c>
    </row>
    <row r="19" spans="2:17" hidden="1" outlineLevel="1" x14ac:dyDescent="0.3">
      <c r="B19" s="1"/>
    </row>
    <row r="20" spans="2:17" hidden="1" outlineLevel="1" x14ac:dyDescent="0.3">
      <c r="B20" s="1" t="s">
        <v>25</v>
      </c>
      <c r="C20" s="2" t="s">
        <v>13</v>
      </c>
      <c r="D20" s="5">
        <v>-20</v>
      </c>
    </row>
    <row r="21" spans="2:17" hidden="1" outlineLevel="1" x14ac:dyDescent="0.3">
      <c r="B21" s="1" t="s">
        <v>31</v>
      </c>
      <c r="C21" s="2" t="s">
        <v>14</v>
      </c>
      <c r="D21" s="6">
        <v>100</v>
      </c>
    </row>
    <row r="22" spans="2:17" hidden="1" outlineLevel="1" x14ac:dyDescent="0.3">
      <c r="B22" s="1" t="s">
        <v>48</v>
      </c>
      <c r="C22" s="2" t="s">
        <v>47</v>
      </c>
      <c r="D22" s="14">
        <f>fL / rS</f>
        <v>3.3333333333333335</v>
      </c>
    </row>
    <row r="23" spans="2:17" hidden="1" outlineLevel="1" x14ac:dyDescent="0.3">
      <c r="B23" s="1" t="s">
        <v>32</v>
      </c>
      <c r="C23" s="2" t="s">
        <v>18</v>
      </c>
      <c r="D23" s="7" cm="1">
        <f t="array" ref="D23" xml:space="preserve"> tyre * rDn</f>
        <v>6.9866666666666672</v>
      </c>
    </row>
    <row r="24" spans="2:17" hidden="1" outlineLevel="1" x14ac:dyDescent="0.3">
      <c r="B24" s="1" t="s">
        <v>28</v>
      </c>
      <c r="C24" s="2" t="s">
        <v>15</v>
      </c>
      <c r="D24" s="8">
        <f>Speed2Wheel(E24)</f>
        <v>12618</v>
      </c>
      <c r="E24" s="3">
        <f>dDn*rpmDn*60/1000</f>
        <v>41.920000000000009</v>
      </c>
    </row>
    <row r="25" spans="2:17" hidden="1" outlineLevel="1" x14ac:dyDescent="0.3">
      <c r="B25" s="1" t="s">
        <v>33</v>
      </c>
      <c r="C25" s="2" t="s">
        <v>16</v>
      </c>
      <c r="D25" s="4">
        <f>ftp*ftp_Dn/100</f>
        <v>200</v>
      </c>
    </row>
    <row r="26" spans="2:17" hidden="1" outlineLevel="1" x14ac:dyDescent="0.3">
      <c r="B26" s="1" t="s">
        <v>30</v>
      </c>
      <c r="C26" s="2" t="s">
        <v>17</v>
      </c>
      <c r="D26" s="9">
        <f>Power2Resistance(P_Dn,Wheel2Speed(wDn), rpmDn)</f>
        <v>2044</v>
      </c>
      <c r="E26" s="40" t="s">
        <v>51</v>
      </c>
    </row>
    <row r="28" spans="2:17" x14ac:dyDescent="0.3">
      <c r="C28" s="23" t="s">
        <v>46</v>
      </c>
      <c r="D28" s="23" t="s">
        <v>44</v>
      </c>
      <c r="E28" s="26">
        <v>50</v>
      </c>
      <c r="F28" s="27">
        <v>60</v>
      </c>
      <c r="G28" s="27">
        <v>70</v>
      </c>
      <c r="H28" s="27">
        <v>80</v>
      </c>
      <c r="I28" s="27">
        <v>90</v>
      </c>
      <c r="J28" s="28">
        <v>100</v>
      </c>
      <c r="K28" s="42" t="s">
        <v>45</v>
      </c>
      <c r="L28" s="41" t="s">
        <v>0</v>
      </c>
      <c r="M28" s="15"/>
      <c r="N28" s="15"/>
      <c r="O28" s="15"/>
      <c r="P28" s="15"/>
      <c r="Q28" s="16"/>
    </row>
    <row r="29" spans="2:17" x14ac:dyDescent="0.3">
      <c r="C29" s="36">
        <f xml:space="preserve"> INT(R_Dn + ( (R_Up - R_Dn) / (gradeUp-gradeDn) * (D29 - gradeDn) ) )</f>
        <v>2044</v>
      </c>
      <c r="D29" s="38">
        <v>-20</v>
      </c>
      <c r="E29" s="29">
        <f>Resistance2Power($C29,L29)</f>
        <v>100.1</v>
      </c>
      <c r="F29" s="30">
        <f t="shared" ref="F29:F37" si="0">Resistance2Power($C29,M29)</f>
        <v>120.1</v>
      </c>
      <c r="G29" s="30">
        <f t="shared" ref="G29:G37" si="1">Resistance2Power($C29,N29)</f>
        <v>140.1</v>
      </c>
      <c r="H29" s="30">
        <f t="shared" ref="H29:H37" si="2">Resistance2Power($C29,O29)</f>
        <v>160.1</v>
      </c>
      <c r="I29" s="30">
        <f t="shared" ref="I29:I37" si="3">Resistance2Power($C29,P29)</f>
        <v>180.1</v>
      </c>
      <c r="J29" s="31">
        <f t="shared" ref="J29:J37" si="4">Resistance2Power($C29,Q29)</f>
        <v>200.1</v>
      </c>
      <c r="K29" s="24">
        <f t="shared" ref="K29:K37" si="5">rDn + ( (rUp - rDn) / (gradeUp-gradeDn) * (D29 - gradeDn) )</f>
        <v>3.3333333333333335</v>
      </c>
      <c r="L29" s="17">
        <f t="shared" ref="L29:L37" si="6">E$28*tyre * $K29 * 60/1000</f>
        <v>20.960000000000004</v>
      </c>
      <c r="M29" s="18">
        <f t="shared" ref="M29:M37" si="7">F$28*tyre * $K29 * 60/1000</f>
        <v>25.152000000000005</v>
      </c>
      <c r="N29" s="18">
        <f t="shared" ref="N29:N37" si="8">G$28*tyre * $K29 * 60/1000</f>
        <v>29.344000000000001</v>
      </c>
      <c r="O29" s="18">
        <f t="shared" ref="O29:O37" si="9">H$28*tyre * $K29 * 60/1000</f>
        <v>33.536000000000001</v>
      </c>
      <c r="P29" s="18">
        <f t="shared" ref="P29:P37" si="10">I$28*tyre * $K29 * 60/1000</f>
        <v>37.728000000000009</v>
      </c>
      <c r="Q29" s="19">
        <f t="shared" ref="Q29:Q37" si="11">J$28*tyre * $K29 * 60/1000</f>
        <v>41.920000000000009</v>
      </c>
    </row>
    <row r="30" spans="2:17" x14ac:dyDescent="0.3">
      <c r="C30" s="36">
        <f t="shared" ref="C30:C37" si="12" xml:space="preserve"> INT(R_Dn + ( (R_Up - R_Dn) / (gradeUp-gradeDn) * (D30 - gradeDn) ) )</f>
        <v>2553</v>
      </c>
      <c r="D30" s="38">
        <v>-15</v>
      </c>
      <c r="E30" s="29">
        <f t="shared" ref="E30:E37" si="13">Resistance2Power($C30,L30)</f>
        <v>125</v>
      </c>
      <c r="F30" s="30">
        <f t="shared" si="0"/>
        <v>150</v>
      </c>
      <c r="G30" s="30">
        <f t="shared" si="1"/>
        <v>175</v>
      </c>
      <c r="H30" s="30">
        <f t="shared" si="2"/>
        <v>200</v>
      </c>
      <c r="I30" s="30">
        <f t="shared" si="3"/>
        <v>225</v>
      </c>
      <c r="J30" s="32">
        <f t="shared" si="4"/>
        <v>250</v>
      </c>
      <c r="K30" s="24">
        <f t="shared" si="5"/>
        <v>3.3333333333333335</v>
      </c>
      <c r="L30" s="17">
        <f t="shared" si="6"/>
        <v>20.960000000000004</v>
      </c>
      <c r="M30" s="18">
        <f t="shared" si="7"/>
        <v>25.152000000000005</v>
      </c>
      <c r="N30" s="18">
        <f t="shared" si="8"/>
        <v>29.344000000000001</v>
      </c>
      <c r="O30" s="18">
        <f t="shared" si="9"/>
        <v>33.536000000000001</v>
      </c>
      <c r="P30" s="18">
        <f t="shared" si="10"/>
        <v>37.728000000000009</v>
      </c>
      <c r="Q30" s="19">
        <f t="shared" si="11"/>
        <v>41.920000000000009</v>
      </c>
    </row>
    <row r="31" spans="2:17" x14ac:dyDescent="0.3">
      <c r="C31" s="36">
        <f t="shared" si="12"/>
        <v>3062</v>
      </c>
      <c r="D31" s="38">
        <v>-10</v>
      </c>
      <c r="E31" s="29">
        <f t="shared" si="13"/>
        <v>149.9</v>
      </c>
      <c r="F31" s="30">
        <f t="shared" si="0"/>
        <v>179.9</v>
      </c>
      <c r="G31" s="30">
        <f t="shared" si="1"/>
        <v>209.9</v>
      </c>
      <c r="H31" s="30">
        <f t="shared" si="2"/>
        <v>239.8</v>
      </c>
      <c r="I31" s="30">
        <f t="shared" si="3"/>
        <v>269.8</v>
      </c>
      <c r="J31" s="32">
        <f t="shared" si="4"/>
        <v>299.8</v>
      </c>
      <c r="K31" s="24">
        <f t="shared" si="5"/>
        <v>3.3333333333333335</v>
      </c>
      <c r="L31" s="17">
        <f t="shared" si="6"/>
        <v>20.960000000000004</v>
      </c>
      <c r="M31" s="18">
        <f t="shared" si="7"/>
        <v>25.152000000000005</v>
      </c>
      <c r="N31" s="18">
        <f t="shared" si="8"/>
        <v>29.344000000000001</v>
      </c>
      <c r="O31" s="18">
        <f t="shared" si="9"/>
        <v>33.536000000000001</v>
      </c>
      <c r="P31" s="18">
        <f t="shared" si="10"/>
        <v>37.728000000000009</v>
      </c>
      <c r="Q31" s="19">
        <f t="shared" si="11"/>
        <v>41.920000000000009</v>
      </c>
    </row>
    <row r="32" spans="2:17" x14ac:dyDescent="0.3">
      <c r="C32" s="36">
        <f t="shared" si="12"/>
        <v>3571</v>
      </c>
      <c r="D32" s="38">
        <v>-5</v>
      </c>
      <c r="E32" s="29">
        <f t="shared" si="13"/>
        <v>174.8</v>
      </c>
      <c r="F32" s="30">
        <f t="shared" si="0"/>
        <v>209.8</v>
      </c>
      <c r="G32" s="30">
        <f t="shared" si="1"/>
        <v>244.8</v>
      </c>
      <c r="H32" s="30">
        <f t="shared" si="2"/>
        <v>279.7</v>
      </c>
      <c r="I32" s="30">
        <f t="shared" si="3"/>
        <v>314.7</v>
      </c>
      <c r="J32" s="32">
        <f t="shared" si="4"/>
        <v>349.7</v>
      </c>
      <c r="K32" s="24">
        <f t="shared" si="5"/>
        <v>3.3333333333333335</v>
      </c>
      <c r="L32" s="17">
        <f t="shared" si="6"/>
        <v>20.960000000000004</v>
      </c>
      <c r="M32" s="18">
        <f t="shared" si="7"/>
        <v>25.152000000000005</v>
      </c>
      <c r="N32" s="18">
        <f t="shared" si="8"/>
        <v>29.344000000000001</v>
      </c>
      <c r="O32" s="18">
        <f t="shared" si="9"/>
        <v>33.536000000000001</v>
      </c>
      <c r="P32" s="18">
        <f t="shared" si="10"/>
        <v>37.728000000000009</v>
      </c>
      <c r="Q32" s="19">
        <f t="shared" si="11"/>
        <v>41.920000000000009</v>
      </c>
    </row>
    <row r="33" spans="3:17" x14ac:dyDescent="0.3">
      <c r="C33" s="36">
        <f t="shared" si="12"/>
        <v>4080</v>
      </c>
      <c r="D33" s="38">
        <v>0</v>
      </c>
      <c r="E33" s="29">
        <f t="shared" si="13"/>
        <v>199.7</v>
      </c>
      <c r="F33" s="30">
        <f t="shared" si="0"/>
        <v>239.7</v>
      </c>
      <c r="G33" s="30">
        <f t="shared" si="1"/>
        <v>279.7</v>
      </c>
      <c r="H33" s="30">
        <f t="shared" si="2"/>
        <v>319.60000000000002</v>
      </c>
      <c r="I33" s="30">
        <f t="shared" si="3"/>
        <v>359.5</v>
      </c>
      <c r="J33" s="32">
        <f t="shared" si="4"/>
        <v>399.5</v>
      </c>
      <c r="K33" s="24">
        <f t="shared" si="5"/>
        <v>3.3333333333333335</v>
      </c>
      <c r="L33" s="17">
        <f t="shared" si="6"/>
        <v>20.960000000000004</v>
      </c>
      <c r="M33" s="18">
        <f t="shared" si="7"/>
        <v>25.152000000000005</v>
      </c>
      <c r="N33" s="18">
        <f t="shared" si="8"/>
        <v>29.344000000000001</v>
      </c>
      <c r="O33" s="18">
        <f t="shared" si="9"/>
        <v>33.536000000000001</v>
      </c>
      <c r="P33" s="18">
        <f t="shared" si="10"/>
        <v>37.728000000000009</v>
      </c>
      <c r="Q33" s="19">
        <f t="shared" si="11"/>
        <v>41.920000000000009</v>
      </c>
    </row>
    <row r="34" spans="3:17" x14ac:dyDescent="0.3">
      <c r="C34" s="36">
        <f t="shared" si="12"/>
        <v>4589</v>
      </c>
      <c r="D34" s="38">
        <v>5</v>
      </c>
      <c r="E34" s="29">
        <f t="shared" si="13"/>
        <v>224.7</v>
      </c>
      <c r="F34" s="30">
        <f t="shared" si="0"/>
        <v>269.60000000000002</v>
      </c>
      <c r="G34" s="30">
        <f t="shared" si="1"/>
        <v>314.5</v>
      </c>
      <c r="H34" s="30">
        <f t="shared" si="2"/>
        <v>359.5</v>
      </c>
      <c r="I34" s="30">
        <f t="shared" si="3"/>
        <v>404.4</v>
      </c>
      <c r="J34" s="32">
        <f t="shared" si="4"/>
        <v>449.3</v>
      </c>
      <c r="K34" s="24">
        <f t="shared" si="5"/>
        <v>3.3333333333333335</v>
      </c>
      <c r="L34" s="17">
        <f t="shared" si="6"/>
        <v>20.960000000000004</v>
      </c>
      <c r="M34" s="18">
        <f t="shared" si="7"/>
        <v>25.152000000000005</v>
      </c>
      <c r="N34" s="18">
        <f t="shared" si="8"/>
        <v>29.344000000000001</v>
      </c>
      <c r="O34" s="18">
        <f t="shared" si="9"/>
        <v>33.536000000000001</v>
      </c>
      <c r="P34" s="18">
        <f t="shared" si="10"/>
        <v>37.728000000000009</v>
      </c>
      <c r="Q34" s="19">
        <f t="shared" si="11"/>
        <v>41.920000000000009</v>
      </c>
    </row>
    <row r="35" spans="3:17" x14ac:dyDescent="0.3">
      <c r="C35" s="36">
        <f t="shared" si="12"/>
        <v>5098</v>
      </c>
      <c r="D35" s="38">
        <v>10</v>
      </c>
      <c r="E35" s="29">
        <f t="shared" si="13"/>
        <v>249.6</v>
      </c>
      <c r="F35" s="30">
        <f t="shared" si="0"/>
        <v>299.5</v>
      </c>
      <c r="G35" s="30">
        <f t="shared" si="1"/>
        <v>349.4</v>
      </c>
      <c r="H35" s="30">
        <f t="shared" si="2"/>
        <v>399.3</v>
      </c>
      <c r="I35" s="30">
        <f t="shared" si="3"/>
        <v>449.2</v>
      </c>
      <c r="J35" s="32">
        <f t="shared" si="4"/>
        <v>499.2</v>
      </c>
      <c r="K35" s="24">
        <f t="shared" si="5"/>
        <v>3.3333333333333335</v>
      </c>
      <c r="L35" s="17">
        <f t="shared" si="6"/>
        <v>20.960000000000004</v>
      </c>
      <c r="M35" s="18">
        <f t="shared" si="7"/>
        <v>25.152000000000005</v>
      </c>
      <c r="N35" s="18">
        <f t="shared" si="8"/>
        <v>29.344000000000001</v>
      </c>
      <c r="O35" s="18">
        <f t="shared" si="9"/>
        <v>33.536000000000001</v>
      </c>
      <c r="P35" s="18">
        <f t="shared" si="10"/>
        <v>37.728000000000009</v>
      </c>
      <c r="Q35" s="19">
        <f t="shared" si="11"/>
        <v>41.920000000000009</v>
      </c>
    </row>
    <row r="36" spans="3:17" x14ac:dyDescent="0.3">
      <c r="C36" s="36">
        <f t="shared" si="12"/>
        <v>5607</v>
      </c>
      <c r="D36" s="38">
        <v>15</v>
      </c>
      <c r="E36" s="29">
        <f t="shared" si="13"/>
        <v>274.5</v>
      </c>
      <c r="F36" s="30">
        <f t="shared" si="0"/>
        <v>329.4</v>
      </c>
      <c r="G36" s="30">
        <f t="shared" si="1"/>
        <v>384.3</v>
      </c>
      <c r="H36" s="30">
        <f t="shared" si="2"/>
        <v>439.2</v>
      </c>
      <c r="I36" s="30">
        <f t="shared" si="3"/>
        <v>494.1</v>
      </c>
      <c r="J36" s="32">
        <f t="shared" si="4"/>
        <v>549</v>
      </c>
      <c r="K36" s="24">
        <f t="shared" si="5"/>
        <v>3.3333333333333335</v>
      </c>
      <c r="L36" s="17">
        <f t="shared" si="6"/>
        <v>20.960000000000004</v>
      </c>
      <c r="M36" s="18">
        <f t="shared" si="7"/>
        <v>25.152000000000005</v>
      </c>
      <c r="N36" s="18">
        <f t="shared" si="8"/>
        <v>29.344000000000001</v>
      </c>
      <c r="O36" s="18">
        <f t="shared" si="9"/>
        <v>33.536000000000001</v>
      </c>
      <c r="P36" s="18">
        <f t="shared" si="10"/>
        <v>37.728000000000009</v>
      </c>
      <c r="Q36" s="19">
        <f t="shared" si="11"/>
        <v>41.920000000000009</v>
      </c>
    </row>
    <row r="37" spans="3:17" x14ac:dyDescent="0.3">
      <c r="C37" s="37">
        <f t="shared" si="12"/>
        <v>6116</v>
      </c>
      <c r="D37" s="39">
        <v>20</v>
      </c>
      <c r="E37" s="33">
        <f t="shared" si="13"/>
        <v>299.39999999999998</v>
      </c>
      <c r="F37" s="34">
        <f t="shared" si="0"/>
        <v>359.3</v>
      </c>
      <c r="G37" s="34">
        <f t="shared" si="1"/>
        <v>419.2</v>
      </c>
      <c r="H37" s="34">
        <f t="shared" si="2"/>
        <v>479.1</v>
      </c>
      <c r="I37" s="34">
        <f t="shared" si="3"/>
        <v>539</v>
      </c>
      <c r="J37" s="35">
        <f t="shared" si="4"/>
        <v>598.9</v>
      </c>
      <c r="K37" s="25">
        <f t="shared" si="5"/>
        <v>3.3333333333333335</v>
      </c>
      <c r="L37" s="20">
        <f t="shared" si="6"/>
        <v>20.960000000000004</v>
      </c>
      <c r="M37" s="21">
        <f t="shared" si="7"/>
        <v>25.152000000000005</v>
      </c>
      <c r="N37" s="21">
        <f t="shared" si="8"/>
        <v>29.344000000000001</v>
      </c>
      <c r="O37" s="21">
        <f t="shared" si="9"/>
        <v>33.536000000000001</v>
      </c>
      <c r="P37" s="21">
        <f t="shared" si="10"/>
        <v>37.728000000000009</v>
      </c>
      <c r="Q37" s="22">
        <f t="shared" si="11"/>
        <v>41.920000000000009</v>
      </c>
    </row>
    <row r="38" spans="3:17" x14ac:dyDescent="0.3">
      <c r="K38" s="2" t="s">
        <v>63</v>
      </c>
    </row>
    <row r="39" spans="3:17" x14ac:dyDescent="0.3">
      <c r="C39" s="43" t="s">
        <v>59</v>
      </c>
      <c r="E39" s="45" t="s">
        <v>3</v>
      </c>
      <c r="F39" s="45" t="s">
        <v>4</v>
      </c>
      <c r="G39" s="45" t="s">
        <v>5</v>
      </c>
      <c r="H39" s="45" t="s">
        <v>6</v>
      </c>
    </row>
    <row r="40" spans="3:17" x14ac:dyDescent="0.3">
      <c r="E40" s="46">
        <v>50</v>
      </c>
      <c r="F40" s="46">
        <v>50</v>
      </c>
      <c r="G40" s="46">
        <v>15</v>
      </c>
      <c r="H40" s="46">
        <v>15</v>
      </c>
      <c r="I40" s="2" t="s">
        <v>60</v>
      </c>
    </row>
    <row r="41" spans="3:17" x14ac:dyDescent="0.3">
      <c r="E41" s="46">
        <v>50</v>
      </c>
      <c r="F41" s="46">
        <v>50</v>
      </c>
      <c r="G41" s="46">
        <v>25</v>
      </c>
      <c r="H41" s="46">
        <v>15</v>
      </c>
      <c r="I41" s="2" t="s">
        <v>61</v>
      </c>
    </row>
    <row r="42" spans="3:17" x14ac:dyDescent="0.3">
      <c r="E42" s="46">
        <v>50</v>
      </c>
      <c r="F42" s="46">
        <v>34</v>
      </c>
      <c r="G42" s="46">
        <v>25</v>
      </c>
      <c r="H42" s="46">
        <v>15</v>
      </c>
      <c r="I42" s="2" t="s">
        <v>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ngleSpeed">
                <anchor moveWithCells="1" sizeWithCells="1">
                  <from>
                    <xdr:col>2</xdr:col>
                    <xdr:colOff>518160</xdr:colOff>
                    <xdr:row>39</xdr:row>
                    <xdr:rowOff>7620</xdr:rowOff>
                  </from>
                  <to>
                    <xdr:col>3</xdr:col>
                    <xdr:colOff>792480</xdr:colOff>
                    <xdr:row>39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ssette">
                <anchor moveWithCells="1" sizeWithCells="1">
                  <from>
                    <xdr:col>2</xdr:col>
                    <xdr:colOff>518160</xdr:colOff>
                    <xdr:row>40</xdr:row>
                    <xdr:rowOff>22860</xdr:rowOff>
                  </from>
                  <to>
                    <xdr:col>3</xdr:col>
                    <xdr:colOff>792480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ullGearChange">
                <anchor moveWithCells="1" sizeWithCells="1">
                  <from>
                    <xdr:col>2</xdr:col>
                    <xdr:colOff>518160</xdr:colOff>
                    <xdr:row>41</xdr:row>
                    <xdr:rowOff>22860</xdr:rowOff>
                  </from>
                  <to>
                    <xdr:col>3</xdr:col>
                    <xdr:colOff>792480</xdr:colOff>
                    <xdr:row>41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A76F-8F22-4CF6-8D07-D8390C7E3F8C}">
  <sheetPr codeName="Sheet2">
    <pageSetUpPr fitToPage="1"/>
  </sheetPr>
  <dimension ref="B1:AC37"/>
  <sheetViews>
    <sheetView workbookViewId="0">
      <selection activeCell="T5" sqref="T5"/>
    </sheetView>
  </sheetViews>
  <sheetFormatPr defaultRowHeight="14.4" x14ac:dyDescent="0.3"/>
  <cols>
    <col min="1" max="1" width="1.6640625" customWidth="1"/>
    <col min="2" max="2" width="7.109375" style="51" bestFit="1" customWidth="1"/>
    <col min="3" max="3" width="5" style="51" bestFit="1" customWidth="1"/>
    <col min="4" max="4" width="6.33203125" style="51" bestFit="1" customWidth="1"/>
    <col min="5" max="5" width="8.33203125" style="51" bestFit="1" customWidth="1"/>
    <col min="6" max="6" width="5.6640625" customWidth="1"/>
    <col min="7" max="7" width="11" bestFit="1" customWidth="1"/>
    <col min="8" max="18" width="5.6640625" customWidth="1"/>
    <col min="19" max="29" width="5.77734375" customWidth="1"/>
  </cols>
  <sheetData>
    <row r="1" spans="2:29" ht="4.2" customHeight="1" x14ac:dyDescent="0.3"/>
    <row r="2" spans="2:29" x14ac:dyDescent="0.3">
      <c r="B2" s="60"/>
      <c r="C2" s="60"/>
      <c r="D2" s="60"/>
      <c r="E2" s="60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T2" s="59" t="s">
        <v>125</v>
      </c>
      <c r="U2" s="59"/>
      <c r="V2" s="59"/>
      <c r="W2" s="59"/>
      <c r="X2" s="59"/>
      <c r="Y2" s="59"/>
      <c r="Z2" s="59"/>
      <c r="AA2" s="59"/>
      <c r="AB2" s="59"/>
      <c r="AC2" s="59"/>
    </row>
    <row r="3" spans="2:29" x14ac:dyDescent="0.3">
      <c r="B3" s="60"/>
      <c r="C3" s="60"/>
      <c r="D3" s="84" t="s">
        <v>93</v>
      </c>
      <c r="E3" s="65">
        <v>90</v>
      </c>
      <c r="F3" s="83"/>
      <c r="G3" s="82">
        <v>5</v>
      </c>
      <c r="H3" s="82">
        <v>10</v>
      </c>
      <c r="I3" s="82">
        <v>15</v>
      </c>
      <c r="J3" s="82">
        <v>20</v>
      </c>
      <c r="K3" s="82">
        <v>25</v>
      </c>
      <c r="L3" s="82">
        <v>30</v>
      </c>
      <c r="M3" s="82">
        <v>35</v>
      </c>
      <c r="N3" s="82">
        <v>40</v>
      </c>
      <c r="O3" s="82">
        <v>45</v>
      </c>
      <c r="P3" s="81">
        <v>50</v>
      </c>
      <c r="Q3" s="80" t="s">
        <v>0</v>
      </c>
      <c r="R3" s="59"/>
      <c r="T3" s="59"/>
      <c r="U3" s="59"/>
      <c r="V3" s="59"/>
      <c r="W3" s="59"/>
      <c r="X3" s="59"/>
      <c r="Y3" s="59"/>
      <c r="Z3" s="59"/>
      <c r="AA3" s="59"/>
      <c r="AB3" s="59"/>
      <c r="AC3" s="59"/>
    </row>
    <row r="4" spans="2:29" x14ac:dyDescent="0.3">
      <c r="B4" s="60"/>
      <c r="C4" s="60"/>
      <c r="D4" s="79" t="s">
        <v>92</v>
      </c>
      <c r="E4" s="60"/>
      <c r="F4" s="78">
        <v>-5</v>
      </c>
      <c r="G4" s="77">
        <f t="shared" ref="G4:P7" si="0">Speed2Power(G$3,$F4,$E$3)</f>
        <v>-18.923237525720168</v>
      </c>
      <c r="H4" s="77">
        <f t="shared" si="0"/>
        <v>-71.940900205761324</v>
      </c>
      <c r="I4" s="77">
        <f t="shared" si="0"/>
        <v>-119.14741319444448</v>
      </c>
      <c r="J4" s="77">
        <f t="shared" si="0"/>
        <v>-157.63720164609055</v>
      </c>
      <c r="K4" s="77">
        <f t="shared" si="0"/>
        <v>-184.50469071502062</v>
      </c>
      <c r="L4" s="77">
        <f t="shared" si="0"/>
        <v>-196.84430555555559</v>
      </c>
      <c r="M4" s="77">
        <f t="shared" si="0"/>
        <v>-191.75047132201652</v>
      </c>
      <c r="N4" s="77">
        <f t="shared" si="0"/>
        <v>-166.31761316872434</v>
      </c>
      <c r="O4" s="77">
        <f t="shared" si="0"/>
        <v>-117.64015625000002</v>
      </c>
      <c r="P4" s="76">
        <f t="shared" si="0"/>
        <v>-42.812525720164786</v>
      </c>
      <c r="Q4" s="59"/>
      <c r="R4" s="59"/>
      <c r="T4" s="91" cm="1">
        <f t="array" ref="T4">Power2Speed(G4, $F4, $E$3)</f>
        <v>50</v>
      </c>
      <c r="U4" s="91" cm="1">
        <f t="array" ref="U4">Power2Speed(H4, $F4, $E$3)</f>
        <v>50</v>
      </c>
      <c r="V4" s="91" cm="1">
        <f t="array" ref="V4">Power2Speed(I4, $F4, $E$3)</f>
        <v>46</v>
      </c>
      <c r="W4" s="91" cm="1">
        <f t="array" ref="W4">Power2Speed(J4, $F4, $E$3)</f>
        <v>42</v>
      </c>
      <c r="X4" s="91" cm="1">
        <f t="array" ref="X4">Power2Speed(K4, $F4, $E$3)</f>
        <v>37</v>
      </c>
      <c r="Y4" s="91" cm="1">
        <f t="array" ref="Y4">Power2Speed(L4, $F4, $E$3)</f>
        <v>37</v>
      </c>
      <c r="Z4" s="91" cm="1">
        <f t="array" ref="Z4">Power2Speed(M4, $F4, $E$3)</f>
        <v>37</v>
      </c>
      <c r="AA4" s="91" cm="1">
        <f t="array" ref="AA4">Power2Speed(N4, $F4, $E$3)</f>
        <v>39</v>
      </c>
      <c r="AB4" s="91" cm="1">
        <f t="array" ref="AB4">Power2Speed(O4, $F4, $E$3)</f>
        <v>46</v>
      </c>
      <c r="AC4" s="91" cm="1">
        <f t="array" ref="AC4">Power2Speed(P4, $F4, $E$3)</f>
        <v>50</v>
      </c>
    </row>
    <row r="5" spans="2:29" x14ac:dyDescent="0.3">
      <c r="B5" s="60"/>
      <c r="C5" s="60"/>
      <c r="D5" s="72" t="s">
        <v>75</v>
      </c>
      <c r="E5" s="65">
        <v>200</v>
      </c>
      <c r="F5" s="78">
        <v>0</v>
      </c>
      <c r="G5" s="77">
        <f t="shared" si="0"/>
        <v>42.389262474279832</v>
      </c>
      <c r="H5" s="77">
        <f t="shared" si="0"/>
        <v>50.684099794238684</v>
      </c>
      <c r="I5" s="77">
        <f t="shared" si="0"/>
        <v>64.790086805555561</v>
      </c>
      <c r="J5" s="77">
        <f t="shared" si="0"/>
        <v>87.612798353909454</v>
      </c>
      <c r="K5" s="77">
        <f t="shared" si="0"/>
        <v>122.05780928497943</v>
      </c>
      <c r="L5" s="77">
        <f t="shared" si="0"/>
        <v>171.03069444444446</v>
      </c>
      <c r="M5" s="77">
        <f t="shared" si="0"/>
        <v>237.43702867798348</v>
      </c>
      <c r="N5" s="77">
        <f t="shared" si="0"/>
        <v>324.18238683127566</v>
      </c>
      <c r="O5" s="77">
        <f t="shared" si="0"/>
        <v>434.17234374999998</v>
      </c>
      <c r="P5" s="76">
        <f t="shared" si="0"/>
        <v>570.31247427983533</v>
      </c>
      <c r="Q5" s="59"/>
      <c r="R5" s="59"/>
      <c r="T5" s="91" cm="1">
        <f t="array" ref="T5">Power2Speed(G5, $F5, $E$3)</f>
        <v>5.060546875</v>
      </c>
      <c r="U5" s="91" cm="1">
        <f t="array" ref="U5">Power2Speed(H5, $F5, $E$3)</f>
        <v>9.89453125</v>
      </c>
      <c r="V5" s="91" cm="1">
        <f t="array" ref="V5">Power2Speed(I5, $F5, $E$3)</f>
        <v>15.30859375</v>
      </c>
      <c r="W5" s="91" cm="1">
        <f t="array" ref="W5">Power2Speed(J5, $F5, $E$3)</f>
        <v>20.3359375</v>
      </c>
      <c r="X5" s="91" cm="1">
        <f t="array" ref="X5">Power2Speed(K5, $F5, $E$3)</f>
        <v>24.9765625</v>
      </c>
      <c r="Y5" s="91" cm="1">
        <f t="array" ref="Y5">Power2Speed(L5, $F5, $E$3)</f>
        <v>29.6171875</v>
      </c>
      <c r="Z5" s="91" cm="1">
        <f t="array" ref="Z5">Power2Speed(M5, $F5, $E$3)</f>
        <v>33.484375</v>
      </c>
      <c r="AA5" s="91" cm="1">
        <f t="array" ref="AA5">Power2Speed(N5, $F5, $E$3)</f>
        <v>39.671875</v>
      </c>
      <c r="AB5" s="91" cm="1">
        <f t="array" ref="AB5">Power2Speed(O5, $F5, $E$3)</f>
        <v>45.859375</v>
      </c>
      <c r="AC5" s="91" cm="1">
        <f t="array" ref="AC5">Power2Speed(P5, $F5, $E$3)</f>
        <v>48.953125</v>
      </c>
    </row>
    <row r="6" spans="2:29" x14ac:dyDescent="0.3">
      <c r="B6" s="60"/>
      <c r="C6" s="60"/>
      <c r="D6" s="60"/>
      <c r="E6" s="60"/>
      <c r="F6" s="78">
        <v>5</v>
      </c>
      <c r="G6" s="77">
        <f t="shared" si="0"/>
        <v>103.70176247427983</v>
      </c>
      <c r="H6" s="77">
        <f t="shared" si="0"/>
        <v>173.30909979423868</v>
      </c>
      <c r="I6" s="77">
        <f t="shared" si="0"/>
        <v>248.72758680555557</v>
      </c>
      <c r="J6" s="77">
        <f t="shared" si="0"/>
        <v>332.86279835390945</v>
      </c>
      <c r="K6" s="77">
        <f t="shared" si="0"/>
        <v>428.6203092849795</v>
      </c>
      <c r="L6" s="77">
        <f t="shared" si="0"/>
        <v>538.90569444444452</v>
      </c>
      <c r="M6" s="77">
        <f t="shared" si="0"/>
        <v>666.62452867798345</v>
      </c>
      <c r="N6" s="77">
        <f t="shared" si="0"/>
        <v>814.68238683127561</v>
      </c>
      <c r="O6" s="77">
        <f t="shared" si="0"/>
        <v>985.98484374999998</v>
      </c>
      <c r="P6" s="76">
        <f t="shared" si="0"/>
        <v>1183.4374742798354</v>
      </c>
      <c r="Q6" s="59"/>
      <c r="R6" s="59"/>
      <c r="T6" s="91" cm="1">
        <f t="array" ref="T6">Power2Speed(G6, $F6, $E$3)</f>
        <v>5.060546875</v>
      </c>
      <c r="U6" s="91" cm="1">
        <f t="array" ref="U6">Power2Speed(H6, $F6, $E$3)</f>
        <v>9.89453125</v>
      </c>
      <c r="V6" s="91" cm="1">
        <f t="array" ref="V6">Power2Speed(I6, $F6, $E$3)</f>
        <v>15.30859375</v>
      </c>
      <c r="W6" s="91" cm="1">
        <f t="array" ref="W6">Power2Speed(J6, $F6, $E$3)</f>
        <v>20.3359375</v>
      </c>
      <c r="X6" s="91" cm="1">
        <f t="array" ref="X6">Power2Speed(K6, $F6, $E$3)</f>
        <v>24.9765625</v>
      </c>
      <c r="Y6" s="91" cm="1">
        <f t="array" ref="Y6">Power2Speed(L6, $F6, $E$3)</f>
        <v>29.6171875</v>
      </c>
      <c r="Z6" s="91" cm="1">
        <f t="array" ref="Z6">Power2Speed(M6, $F6, $E$3)</f>
        <v>33.484375</v>
      </c>
      <c r="AA6" s="91" cm="1">
        <f t="array" ref="AA6">Power2Speed(N6, $F6, $E$3)</f>
        <v>39.671875</v>
      </c>
      <c r="AB6" s="91" cm="1">
        <f t="array" ref="AB6">Power2Speed(O6, $F6, $E$3)</f>
        <v>45.859375</v>
      </c>
      <c r="AC6" s="91" cm="1">
        <f t="array" ref="AC6">Power2Speed(P6, $F6, $E$3)</f>
        <v>48.953125</v>
      </c>
    </row>
    <row r="7" spans="2:29" x14ac:dyDescent="0.3">
      <c r="B7" s="60"/>
      <c r="C7" s="60"/>
      <c r="D7" s="60"/>
      <c r="E7" s="60"/>
      <c r="F7" s="75">
        <v>10</v>
      </c>
      <c r="G7" s="74">
        <f t="shared" si="0"/>
        <v>165.01426247427983</v>
      </c>
      <c r="H7" s="74">
        <f t="shared" si="0"/>
        <v>295.9340997942387</v>
      </c>
      <c r="I7" s="74">
        <f t="shared" si="0"/>
        <v>432.66508680555563</v>
      </c>
      <c r="J7" s="74">
        <f t="shared" si="0"/>
        <v>578.11279835390951</v>
      </c>
      <c r="K7" s="74">
        <f t="shared" si="0"/>
        <v>735.1828092849795</v>
      </c>
      <c r="L7" s="74">
        <f t="shared" si="0"/>
        <v>906.78069444444463</v>
      </c>
      <c r="M7" s="74">
        <f t="shared" si="0"/>
        <v>1095.8120286779836</v>
      </c>
      <c r="N7" s="74">
        <f t="shared" si="0"/>
        <v>1305.1823868312756</v>
      </c>
      <c r="O7" s="74">
        <f t="shared" si="0"/>
        <v>1537.79734375</v>
      </c>
      <c r="P7" s="73">
        <f t="shared" si="0"/>
        <v>1796.5624742798354</v>
      </c>
      <c r="Q7" s="59"/>
      <c r="R7" s="59"/>
      <c r="T7" s="91" cm="1">
        <f t="array" ref="T7">Power2Speed(G7, $F7, $E$3)</f>
        <v>5.060546875</v>
      </c>
      <c r="U7" s="91" cm="1">
        <f t="array" ref="U7">Power2Speed(H7, $F7, $E$3)</f>
        <v>9.89453125</v>
      </c>
      <c r="V7" s="91" cm="1">
        <f t="array" ref="V7">Power2Speed(I7, $F7, $E$3)</f>
        <v>15.30859375</v>
      </c>
      <c r="W7" s="91" cm="1">
        <f t="array" ref="W7">Power2Speed(J7, $F7, $E$3)</f>
        <v>20.3359375</v>
      </c>
      <c r="X7" s="91" cm="1">
        <f t="array" ref="X7">Power2Speed(K7, $F7, $E$3)</f>
        <v>24.9765625</v>
      </c>
      <c r="Y7" s="91" cm="1">
        <f t="array" ref="Y7">Power2Speed(L7, $F7, $E$3)</f>
        <v>29.6171875</v>
      </c>
      <c r="Z7" s="91" cm="1">
        <f t="array" ref="Z7">Power2Speed(M7, $F7, $E$3)</f>
        <v>33.484375</v>
      </c>
      <c r="AA7" s="91" cm="1">
        <f t="array" ref="AA7">Power2Speed(N7, $F7, $E$3)</f>
        <v>39.671875</v>
      </c>
      <c r="AB7" s="91" cm="1">
        <f t="array" ref="AB7">Power2Speed(O7, $F7, $E$3)</f>
        <v>45.859375</v>
      </c>
      <c r="AC7" s="91" cm="1">
        <f t="array" ref="AC7">Power2Speed(P7, $F7, $E$3)</f>
        <v>48.953125</v>
      </c>
    </row>
    <row r="8" spans="2:29" x14ac:dyDescent="0.3">
      <c r="B8" s="72" t="s">
        <v>87</v>
      </c>
      <c r="C8" s="72" t="s">
        <v>86</v>
      </c>
      <c r="D8" s="72" t="s">
        <v>94</v>
      </c>
      <c r="E8" s="72" t="s">
        <v>74</v>
      </c>
      <c r="F8" s="71" t="s">
        <v>1</v>
      </c>
      <c r="G8" s="70">
        <f t="shared" ref="G8:P8" si="1">$E$5</f>
        <v>200</v>
      </c>
      <c r="H8" s="70">
        <f t="shared" si="1"/>
        <v>200</v>
      </c>
      <c r="I8" s="70">
        <f t="shared" si="1"/>
        <v>200</v>
      </c>
      <c r="J8" s="70">
        <f t="shared" si="1"/>
        <v>200</v>
      </c>
      <c r="K8" s="70">
        <f t="shared" si="1"/>
        <v>200</v>
      </c>
      <c r="L8" s="70">
        <f t="shared" si="1"/>
        <v>200</v>
      </c>
      <c r="M8" s="70">
        <f t="shared" si="1"/>
        <v>200</v>
      </c>
      <c r="N8" s="70">
        <f t="shared" si="1"/>
        <v>200</v>
      </c>
      <c r="O8" s="70">
        <f t="shared" si="1"/>
        <v>200</v>
      </c>
      <c r="P8" s="69">
        <f t="shared" si="1"/>
        <v>200</v>
      </c>
      <c r="Q8" s="59"/>
      <c r="R8" s="59"/>
    </row>
    <row r="9" spans="2:29" x14ac:dyDescent="0.3">
      <c r="B9" s="60">
        <v>2.0960000000000001</v>
      </c>
      <c r="C9" s="65">
        <v>34</v>
      </c>
      <c r="D9" s="65">
        <v>25</v>
      </c>
      <c r="E9" s="64">
        <f>B9*C9/D9</f>
        <v>2.8505600000000002</v>
      </c>
      <c r="F9" s="68" t="s">
        <v>84</v>
      </c>
      <c r="G9" s="67">
        <f t="shared" ref="G9:P10" si="2">cadence(G$3,$E9)</f>
        <v>29</v>
      </c>
      <c r="H9" s="67">
        <f t="shared" si="2"/>
        <v>58</v>
      </c>
      <c r="I9" s="67">
        <f t="shared" si="2"/>
        <v>88</v>
      </c>
      <c r="J9" s="67">
        <f t="shared" si="2"/>
        <v>117</v>
      </c>
      <c r="K9" s="67">
        <f t="shared" si="2"/>
        <v>146</v>
      </c>
      <c r="L9" s="67">
        <f t="shared" si="2"/>
        <v>175</v>
      </c>
      <c r="M9" s="67">
        <f t="shared" si="2"/>
        <v>205</v>
      </c>
      <c r="N9" s="67">
        <f t="shared" si="2"/>
        <v>234</v>
      </c>
      <c r="O9" s="67">
        <f t="shared" si="2"/>
        <v>263</v>
      </c>
      <c r="P9" s="66">
        <f t="shared" si="2"/>
        <v>292</v>
      </c>
      <c r="Q9" s="59"/>
      <c r="R9" s="59"/>
    </row>
    <row r="10" spans="2:29" x14ac:dyDescent="0.3">
      <c r="B10" s="60">
        <v>2.0960000000000001</v>
      </c>
      <c r="C10" s="65">
        <v>50</v>
      </c>
      <c r="D10" s="65">
        <v>15</v>
      </c>
      <c r="E10" s="64">
        <f>B10*C10/D10</f>
        <v>6.9866666666666672</v>
      </c>
      <c r="F10" s="63" t="s">
        <v>85</v>
      </c>
      <c r="G10" s="62">
        <f t="shared" si="2"/>
        <v>12</v>
      </c>
      <c r="H10" s="62">
        <f t="shared" si="2"/>
        <v>24</v>
      </c>
      <c r="I10" s="62">
        <f t="shared" si="2"/>
        <v>36</v>
      </c>
      <c r="J10" s="62">
        <f t="shared" si="2"/>
        <v>48</v>
      </c>
      <c r="K10" s="62">
        <f t="shared" si="2"/>
        <v>60</v>
      </c>
      <c r="L10" s="62">
        <f t="shared" si="2"/>
        <v>72</v>
      </c>
      <c r="M10" s="62">
        <f t="shared" si="2"/>
        <v>83</v>
      </c>
      <c r="N10" s="62">
        <f t="shared" si="2"/>
        <v>95</v>
      </c>
      <c r="O10" s="62">
        <f t="shared" si="2"/>
        <v>107</v>
      </c>
      <c r="P10" s="61">
        <f t="shared" si="2"/>
        <v>119</v>
      </c>
      <c r="Q10" s="59"/>
      <c r="R10" s="59"/>
    </row>
    <row r="11" spans="2:29" x14ac:dyDescent="0.3">
      <c r="B11" s="59"/>
      <c r="C11" s="59"/>
      <c r="D11" s="59"/>
      <c r="E11" s="59"/>
      <c r="F11" s="60" t="s">
        <v>73</v>
      </c>
      <c r="G11" s="59">
        <f t="shared" ref="G11:P11" si="3">Power2Resistance(G4,G$3,100)</f>
        <v>-1620</v>
      </c>
      <c r="H11" s="59">
        <f t="shared" si="3"/>
        <v>-3080</v>
      </c>
      <c r="I11" s="59">
        <f t="shared" si="3"/>
        <v>-3401</v>
      </c>
      <c r="J11" s="59">
        <f t="shared" si="3"/>
        <v>-3374</v>
      </c>
      <c r="K11" s="59">
        <f t="shared" si="3"/>
        <v>-3160</v>
      </c>
      <c r="L11" s="59">
        <f t="shared" si="3"/>
        <v>-2809</v>
      </c>
      <c r="M11" s="59">
        <f t="shared" si="3"/>
        <v>-2346</v>
      </c>
      <c r="N11" s="59">
        <f t="shared" si="3"/>
        <v>-1780</v>
      </c>
      <c r="O11" s="59">
        <f t="shared" si="3"/>
        <v>-1119</v>
      </c>
      <c r="P11" s="59">
        <f t="shared" si="3"/>
        <v>-367</v>
      </c>
      <c r="Q11" s="59"/>
      <c r="R11" s="59"/>
    </row>
    <row r="12" spans="2:29" x14ac:dyDescent="0.3">
      <c r="B12" s="59"/>
      <c r="C12" s="59"/>
      <c r="D12" s="59"/>
      <c r="E12" s="59"/>
      <c r="F12" s="60" t="s">
        <v>72</v>
      </c>
      <c r="G12" s="59">
        <f t="shared" ref="G12:P12" si="4">Power2Resistance(G5,G$3,100)</f>
        <v>3630</v>
      </c>
      <c r="H12" s="59">
        <f t="shared" si="4"/>
        <v>2170</v>
      </c>
      <c r="I12" s="59">
        <f t="shared" si="4"/>
        <v>1849</v>
      </c>
      <c r="J12" s="59">
        <f t="shared" si="4"/>
        <v>1875</v>
      </c>
      <c r="K12" s="59">
        <f t="shared" si="4"/>
        <v>2090</v>
      </c>
      <c r="L12" s="59">
        <f t="shared" si="4"/>
        <v>2441</v>
      </c>
      <c r="M12" s="59">
        <f t="shared" si="4"/>
        <v>2904</v>
      </c>
      <c r="N12" s="59">
        <f t="shared" si="4"/>
        <v>3470</v>
      </c>
      <c r="O12" s="59">
        <f t="shared" si="4"/>
        <v>4131</v>
      </c>
      <c r="P12" s="59">
        <f t="shared" si="4"/>
        <v>4883</v>
      </c>
      <c r="Q12" s="59"/>
      <c r="R12" s="59"/>
    </row>
    <row r="13" spans="2:29" x14ac:dyDescent="0.3">
      <c r="B13" s="59"/>
      <c r="C13" s="59"/>
      <c r="D13" s="59"/>
      <c r="E13" s="59"/>
      <c r="F13" s="60" t="s">
        <v>71</v>
      </c>
      <c r="G13" s="59">
        <f t="shared" ref="G13:P13" si="5">Power2Resistance(G6,G$3,100)</f>
        <v>8879</v>
      </c>
      <c r="H13" s="59">
        <f t="shared" si="5"/>
        <v>7420</v>
      </c>
      <c r="I13" s="59">
        <f t="shared" si="5"/>
        <v>7099</v>
      </c>
      <c r="J13" s="59">
        <f t="shared" si="5"/>
        <v>7125</v>
      </c>
      <c r="K13" s="59">
        <f t="shared" si="5"/>
        <v>7340</v>
      </c>
      <c r="L13" s="59">
        <f t="shared" si="5"/>
        <v>7691</v>
      </c>
      <c r="M13" s="59">
        <f t="shared" si="5"/>
        <v>8154</v>
      </c>
      <c r="N13" s="59">
        <f t="shared" si="5"/>
        <v>8720</v>
      </c>
      <c r="O13" s="59">
        <f t="shared" si="5"/>
        <v>9381</v>
      </c>
      <c r="P13" s="59">
        <f t="shared" si="5"/>
        <v>10133</v>
      </c>
      <c r="Q13" s="59"/>
      <c r="R13" s="59"/>
    </row>
    <row r="14" spans="2:29" x14ac:dyDescent="0.3">
      <c r="B14" s="59"/>
      <c r="C14" s="59"/>
      <c r="D14" s="59"/>
      <c r="E14" s="59"/>
      <c r="F14" s="60" t="s">
        <v>70</v>
      </c>
      <c r="G14" s="59">
        <f t="shared" ref="G14:P14" si="6">Power2Resistance(G7,G$3,100)</f>
        <v>14129</v>
      </c>
      <c r="H14" s="59">
        <f t="shared" si="6"/>
        <v>12670</v>
      </c>
      <c r="I14" s="59">
        <f t="shared" si="6"/>
        <v>12349</v>
      </c>
      <c r="J14" s="59">
        <f t="shared" si="6"/>
        <v>12375</v>
      </c>
      <c r="K14" s="59">
        <f t="shared" si="6"/>
        <v>12590</v>
      </c>
      <c r="L14" s="59">
        <f t="shared" si="6"/>
        <v>12941</v>
      </c>
      <c r="M14" s="59">
        <f t="shared" si="6"/>
        <v>13404</v>
      </c>
      <c r="N14" s="59">
        <f t="shared" si="6"/>
        <v>13970</v>
      </c>
      <c r="O14" s="59">
        <f t="shared" si="6"/>
        <v>14630</v>
      </c>
      <c r="P14" s="59">
        <f t="shared" si="6"/>
        <v>15383</v>
      </c>
      <c r="Q14" s="59"/>
      <c r="R14" s="59"/>
    </row>
    <row r="16" spans="2:29" x14ac:dyDescent="0.3">
      <c r="R16" t="s">
        <v>90</v>
      </c>
    </row>
    <row r="17" spans="18:21" x14ac:dyDescent="0.3">
      <c r="R17" t="s">
        <v>91</v>
      </c>
    </row>
    <row r="18" spans="18:21" x14ac:dyDescent="0.3">
      <c r="R18" s="85" t="s">
        <v>89</v>
      </c>
    </row>
    <row r="20" spans="18:21" x14ac:dyDescent="0.3">
      <c r="R20" s="57" t="s">
        <v>88</v>
      </c>
      <c r="S20" s="58"/>
      <c r="T20" s="58"/>
      <c r="U20" s="58"/>
    </row>
    <row r="22" spans="18:21" x14ac:dyDescent="0.3">
      <c r="R22" t="s">
        <v>76</v>
      </c>
    </row>
    <row r="24" spans="18:21" x14ac:dyDescent="0.3">
      <c r="R24" t="s">
        <v>77</v>
      </c>
    </row>
    <row r="25" spans="18:21" x14ac:dyDescent="0.3">
      <c r="R25" t="s">
        <v>78</v>
      </c>
    </row>
    <row r="26" spans="18:21" x14ac:dyDescent="0.3">
      <c r="R26" t="s">
        <v>79</v>
      </c>
    </row>
    <row r="28" spans="18:21" x14ac:dyDescent="0.3">
      <c r="R28" s="53" t="str">
        <f>"ex 1: In the lightest gear-ratio " &amp; J9 &amp; " rev/min for 20 km/hr"</f>
        <v>ex 1: In the lightest gear-ratio 117 rev/min for 20 km/hr</v>
      </c>
    </row>
    <row r="29" spans="18:21" x14ac:dyDescent="0.3">
      <c r="R29" t="str">
        <f>"ex 2: At 20 km/hr and 5% slope you need " &amp; ROUND(J6,0)&amp; " Watt"</f>
        <v>ex 2: At 20 km/hr and 5% slope you need 333 Watt</v>
      </c>
    </row>
    <row r="30" spans="18:21" x14ac:dyDescent="0.3">
      <c r="R30" s="53" t="s">
        <v>69</v>
      </c>
      <c r="S30" t="str">
        <f>"In lightest gear-ratio, " &amp; J9 &amp; " rev/min " &amp; ROUND(J6,0)&amp; " Watt"</f>
        <v>In lightest gear-ratio, 117 rev/min 333 Watt</v>
      </c>
    </row>
    <row r="31" spans="18:21" x14ac:dyDescent="0.3">
      <c r="S31" t="s">
        <v>80</v>
      </c>
    </row>
    <row r="33" spans="18:20" x14ac:dyDescent="0.3">
      <c r="R33" s="57" t="s">
        <v>81</v>
      </c>
      <c r="T33" s="55"/>
    </row>
    <row r="34" spans="18:20" x14ac:dyDescent="0.3">
      <c r="R34" s="53" t="s">
        <v>68</v>
      </c>
      <c r="S34" t="s">
        <v>82</v>
      </c>
      <c r="T34" s="56">
        <f>G7</f>
        <v>165.01426247427983</v>
      </c>
    </row>
    <row r="35" spans="18:20" x14ac:dyDescent="0.3">
      <c r="R35" s="53" t="s">
        <v>68</v>
      </c>
      <c r="S35" t="s">
        <v>44</v>
      </c>
      <c r="T35" s="55">
        <v>0.1</v>
      </c>
    </row>
    <row r="36" spans="18:20" x14ac:dyDescent="0.3">
      <c r="R36" s="53" t="s">
        <v>68</v>
      </c>
      <c r="S36" t="s">
        <v>0</v>
      </c>
      <c r="T36" s="54">
        <v>5</v>
      </c>
    </row>
    <row r="37" spans="18:20" x14ac:dyDescent="0.3">
      <c r="R37" s="53" t="s">
        <v>68</v>
      </c>
      <c r="S37" t="s">
        <v>83</v>
      </c>
      <c r="T37" s="52">
        <f>G10</f>
        <v>12</v>
      </c>
    </row>
  </sheetData>
  <hyperlinks>
    <hyperlink ref="R18" r:id="rId1" xr:uid="{94568960-E046-4F18-91C2-CB283BA6854C}"/>
  </hyperlinks>
  <pageMargins left="0.39370078740157483" right="0.39370078740157483" top="0.39370078740157483" bottom="0.39370078740157483" header="0.31496062992125984" footer="0.31496062992125984"/>
  <pageSetup scale="9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F8BA-448C-41B7-B3D8-D42793DC9849}">
  <sheetPr codeName="Sheet1"/>
  <dimension ref="B1:I65"/>
  <sheetViews>
    <sheetView workbookViewId="0"/>
  </sheetViews>
  <sheetFormatPr defaultRowHeight="14.4" x14ac:dyDescent="0.3"/>
  <cols>
    <col min="2" max="2" width="41.33203125" bestFit="1" customWidth="1"/>
    <col min="3" max="3" width="7.44140625" bestFit="1" customWidth="1"/>
    <col min="4" max="9" width="5.6640625" customWidth="1"/>
  </cols>
  <sheetData>
    <row r="1" spans="2:8" x14ac:dyDescent="0.3">
      <c r="B1" s="86" t="s">
        <v>95</v>
      </c>
      <c r="D1" t="s">
        <v>121</v>
      </c>
      <c r="E1" t="s">
        <v>122</v>
      </c>
      <c r="F1" t="s">
        <v>123</v>
      </c>
      <c r="G1" t="s">
        <v>124</v>
      </c>
    </row>
    <row r="2" spans="2:8" x14ac:dyDescent="0.3">
      <c r="B2" s="86" t="s">
        <v>96</v>
      </c>
      <c r="C2">
        <f t="shared" ref="C2:C26" si="0">MID(B2,1,3)*1</f>
        <v>10</v>
      </c>
      <c r="D2">
        <f>MID(B2,8,3)*1</f>
        <v>32</v>
      </c>
      <c r="E2">
        <f>MID(B2,15,5)*1</f>
        <v>85</v>
      </c>
      <c r="F2">
        <f>MID(B2,23,5)*1</f>
        <v>140</v>
      </c>
      <c r="G2">
        <f>MID(B2,31,5)*1</f>
        <v>190</v>
      </c>
    </row>
    <row r="3" spans="2:8" x14ac:dyDescent="0.3">
      <c r="B3" s="86" t="s">
        <v>97</v>
      </c>
      <c r="C3">
        <f t="shared" si="0"/>
        <v>20</v>
      </c>
      <c r="D3">
        <f t="shared" ref="D3:D26" si="1">MID(B3,8,3)*1</f>
        <v>32</v>
      </c>
      <c r="E3">
        <f t="shared" ref="E3:E26" si="2">MID(B3,15,5)*1</f>
        <v>85</v>
      </c>
      <c r="F3">
        <f t="shared" ref="F3:F26" si="3">MID(B3,23,5)*1</f>
        <v>140</v>
      </c>
      <c r="G3">
        <f t="shared" ref="G3:G11" si="4">MID(B3,31,5)*1</f>
        <v>190</v>
      </c>
    </row>
    <row r="4" spans="2:8" x14ac:dyDescent="0.3">
      <c r="B4" s="86" t="s">
        <v>98</v>
      </c>
      <c r="C4">
        <f t="shared" si="0"/>
        <v>30</v>
      </c>
      <c r="D4">
        <f t="shared" si="1"/>
        <v>32</v>
      </c>
      <c r="E4">
        <f t="shared" si="2"/>
        <v>85</v>
      </c>
      <c r="F4">
        <f t="shared" si="3"/>
        <v>140</v>
      </c>
      <c r="G4">
        <f t="shared" si="4"/>
        <v>190</v>
      </c>
    </row>
    <row r="5" spans="2:8" x14ac:dyDescent="0.3">
      <c r="B5" s="86" t="s">
        <v>99</v>
      </c>
      <c r="C5">
        <f t="shared" si="0"/>
        <v>40</v>
      </c>
      <c r="D5">
        <f t="shared" si="1"/>
        <v>32</v>
      </c>
      <c r="E5">
        <f t="shared" si="2"/>
        <v>89</v>
      </c>
      <c r="F5">
        <f t="shared" si="3"/>
        <v>140</v>
      </c>
      <c r="G5">
        <f t="shared" si="4"/>
        <v>190</v>
      </c>
    </row>
    <row r="6" spans="2:8" x14ac:dyDescent="0.3">
      <c r="B6" s="86" t="s">
        <v>100</v>
      </c>
      <c r="C6">
        <f t="shared" si="0"/>
        <v>50</v>
      </c>
      <c r="D6">
        <f t="shared" si="1"/>
        <v>32</v>
      </c>
      <c r="E6">
        <f t="shared" si="2"/>
        <v>89</v>
      </c>
      <c r="F6">
        <f t="shared" si="3"/>
        <v>140</v>
      </c>
      <c r="G6">
        <f t="shared" si="4"/>
        <v>210</v>
      </c>
      <c r="H6">
        <f>(G11-G6)/5</f>
        <v>20</v>
      </c>
    </row>
    <row r="7" spans="2:8" x14ac:dyDescent="0.3">
      <c r="B7" s="86" t="s">
        <v>101</v>
      </c>
      <c r="C7">
        <f t="shared" si="0"/>
        <v>60</v>
      </c>
      <c r="D7">
        <f t="shared" si="1"/>
        <v>34</v>
      </c>
      <c r="E7">
        <f t="shared" si="2"/>
        <v>93</v>
      </c>
      <c r="F7">
        <f t="shared" si="3"/>
        <v>150</v>
      </c>
      <c r="G7" s="88"/>
    </row>
    <row r="8" spans="2:8" x14ac:dyDescent="0.3">
      <c r="B8" s="86" t="s">
        <v>102</v>
      </c>
      <c r="C8">
        <f t="shared" si="0"/>
        <v>70</v>
      </c>
      <c r="D8">
        <f t="shared" si="1"/>
        <v>35</v>
      </c>
      <c r="E8">
        <f t="shared" si="2"/>
        <v>100</v>
      </c>
      <c r="F8">
        <f t="shared" si="3"/>
        <v>160</v>
      </c>
      <c r="G8" s="88"/>
    </row>
    <row r="9" spans="2:8" x14ac:dyDescent="0.3">
      <c r="B9" s="86" t="s">
        <v>103</v>
      </c>
      <c r="C9">
        <f t="shared" si="0"/>
        <v>80</v>
      </c>
      <c r="D9">
        <f t="shared" si="1"/>
        <v>38</v>
      </c>
      <c r="E9">
        <f t="shared" si="2"/>
        <v>105</v>
      </c>
      <c r="F9">
        <f t="shared" si="3"/>
        <v>170</v>
      </c>
      <c r="G9" s="88"/>
    </row>
    <row r="10" spans="2:8" x14ac:dyDescent="0.3">
      <c r="B10" s="86" t="s">
        <v>104</v>
      </c>
      <c r="C10">
        <f t="shared" si="0"/>
        <v>90</v>
      </c>
      <c r="D10">
        <f t="shared" si="1"/>
        <v>40</v>
      </c>
      <c r="E10">
        <f t="shared" si="2"/>
        <v>112</v>
      </c>
      <c r="F10">
        <f t="shared" si="3"/>
        <v>193</v>
      </c>
      <c r="G10" s="88"/>
    </row>
    <row r="11" spans="2:8" x14ac:dyDescent="0.3">
      <c r="B11" s="86" t="s">
        <v>105</v>
      </c>
      <c r="C11">
        <f t="shared" si="0"/>
        <v>100</v>
      </c>
      <c r="D11">
        <f t="shared" si="1"/>
        <v>42</v>
      </c>
      <c r="E11">
        <f t="shared" si="2"/>
        <v>128</v>
      </c>
      <c r="F11">
        <f t="shared" si="3"/>
        <v>210</v>
      </c>
      <c r="G11">
        <f t="shared" si="4"/>
        <v>310</v>
      </c>
      <c r="H11">
        <f>(G16-G11)/5</f>
        <v>20</v>
      </c>
    </row>
    <row r="12" spans="2:8" x14ac:dyDescent="0.3">
      <c r="B12" s="86" t="s">
        <v>106</v>
      </c>
      <c r="C12">
        <f t="shared" si="0"/>
        <v>110</v>
      </c>
      <c r="D12">
        <f t="shared" si="1"/>
        <v>48</v>
      </c>
      <c r="E12">
        <f t="shared" si="2"/>
        <v>139</v>
      </c>
      <c r="F12">
        <f t="shared" si="3"/>
        <v>230</v>
      </c>
      <c r="G12" s="88"/>
    </row>
    <row r="13" spans="2:8" x14ac:dyDescent="0.3">
      <c r="B13" s="86" t="s">
        <v>107</v>
      </c>
      <c r="C13">
        <f t="shared" si="0"/>
        <v>120</v>
      </c>
      <c r="D13">
        <f t="shared" si="1"/>
        <v>50</v>
      </c>
      <c r="E13">
        <f t="shared" si="2"/>
        <v>142</v>
      </c>
      <c r="F13">
        <f t="shared" si="3"/>
        <v>235</v>
      </c>
      <c r="G13" s="88"/>
    </row>
    <row r="14" spans="2:8" x14ac:dyDescent="0.3">
      <c r="B14" s="86" t="s">
        <v>108</v>
      </c>
      <c r="C14">
        <f t="shared" si="0"/>
        <v>130</v>
      </c>
      <c r="D14">
        <f t="shared" si="1"/>
        <v>50</v>
      </c>
      <c r="E14">
        <f t="shared" si="2"/>
        <v>145</v>
      </c>
      <c r="F14">
        <f t="shared" si="3"/>
        <v>245</v>
      </c>
      <c r="G14" s="88"/>
    </row>
    <row r="15" spans="2:8" x14ac:dyDescent="0.3">
      <c r="B15" s="86" t="s">
        <v>109</v>
      </c>
      <c r="C15">
        <f t="shared" si="0"/>
        <v>140</v>
      </c>
      <c r="D15">
        <f t="shared" si="1"/>
        <v>52</v>
      </c>
      <c r="E15">
        <f t="shared" si="2"/>
        <v>152</v>
      </c>
      <c r="F15">
        <f t="shared" si="3"/>
        <v>250</v>
      </c>
      <c r="G15" s="88"/>
    </row>
    <row r="16" spans="2:8" x14ac:dyDescent="0.3">
      <c r="B16" s="86" t="s">
        <v>110</v>
      </c>
      <c r="C16">
        <f t="shared" si="0"/>
        <v>150</v>
      </c>
      <c r="D16">
        <f t="shared" si="1"/>
        <v>58</v>
      </c>
      <c r="E16">
        <f t="shared" si="2"/>
        <v>162</v>
      </c>
      <c r="F16">
        <f t="shared" si="3"/>
        <v>265</v>
      </c>
      <c r="G16">
        <v>410</v>
      </c>
      <c r="H16">
        <f>(G21-G16)/5</f>
        <v>28</v>
      </c>
    </row>
    <row r="17" spans="2:7" x14ac:dyDescent="0.3">
      <c r="B17" s="86" t="s">
        <v>111</v>
      </c>
      <c r="C17">
        <f t="shared" si="0"/>
        <v>160</v>
      </c>
      <c r="D17">
        <f t="shared" si="1"/>
        <v>60</v>
      </c>
      <c r="E17">
        <f t="shared" si="2"/>
        <v>180</v>
      </c>
      <c r="F17">
        <f t="shared" si="3"/>
        <v>285</v>
      </c>
      <c r="G17" s="88"/>
    </row>
    <row r="18" spans="2:7" x14ac:dyDescent="0.3">
      <c r="B18" s="86" t="s">
        <v>112</v>
      </c>
      <c r="C18">
        <f t="shared" si="0"/>
        <v>170</v>
      </c>
      <c r="D18">
        <f t="shared" si="1"/>
        <v>65</v>
      </c>
      <c r="E18">
        <f t="shared" si="2"/>
        <v>190</v>
      </c>
      <c r="F18">
        <f t="shared" si="3"/>
        <v>310</v>
      </c>
      <c r="G18" s="88"/>
    </row>
    <row r="19" spans="2:7" x14ac:dyDescent="0.3">
      <c r="B19" s="86" t="s">
        <v>113</v>
      </c>
      <c r="C19">
        <f t="shared" si="0"/>
        <v>180</v>
      </c>
      <c r="D19">
        <f t="shared" si="1"/>
        <v>68</v>
      </c>
      <c r="E19">
        <f t="shared" si="2"/>
        <v>198</v>
      </c>
      <c r="F19">
        <f t="shared" si="3"/>
        <v>332</v>
      </c>
      <c r="G19" s="88"/>
    </row>
    <row r="20" spans="2:7" x14ac:dyDescent="0.3">
      <c r="B20" s="86" t="s">
        <v>114</v>
      </c>
      <c r="C20">
        <f t="shared" si="0"/>
        <v>190</v>
      </c>
      <c r="D20">
        <f t="shared" si="1"/>
        <v>70</v>
      </c>
      <c r="E20">
        <f t="shared" si="2"/>
        <v>207</v>
      </c>
      <c r="F20">
        <f t="shared" si="3"/>
        <v>340</v>
      </c>
      <c r="G20" s="88"/>
    </row>
    <row r="21" spans="2:7" x14ac:dyDescent="0.3">
      <c r="B21" s="86" t="s">
        <v>115</v>
      </c>
      <c r="C21">
        <f t="shared" si="0"/>
        <v>200</v>
      </c>
      <c r="D21">
        <f t="shared" si="1"/>
        <v>72</v>
      </c>
      <c r="E21">
        <f t="shared" si="2"/>
        <v>207</v>
      </c>
      <c r="F21">
        <f t="shared" si="3"/>
        <v>365</v>
      </c>
      <c r="G21">
        <v>550</v>
      </c>
    </row>
    <row r="22" spans="2:7" x14ac:dyDescent="0.3">
      <c r="B22" s="86" t="s">
        <v>116</v>
      </c>
      <c r="C22">
        <f t="shared" si="0"/>
        <v>210</v>
      </c>
      <c r="D22">
        <f t="shared" si="1"/>
        <v>72</v>
      </c>
      <c r="E22">
        <f t="shared" si="2"/>
        <v>210</v>
      </c>
      <c r="F22">
        <f t="shared" si="3"/>
        <v>370</v>
      </c>
    </row>
    <row r="23" spans="2:7" x14ac:dyDescent="0.3">
      <c r="B23" s="86" t="s">
        <v>117</v>
      </c>
      <c r="C23">
        <f t="shared" si="0"/>
        <v>220</v>
      </c>
      <c r="D23">
        <f t="shared" si="1"/>
        <v>75</v>
      </c>
      <c r="E23">
        <f t="shared" si="2"/>
        <v>210</v>
      </c>
      <c r="F23">
        <f t="shared" si="3"/>
        <v>390</v>
      </c>
    </row>
    <row r="24" spans="2:7" x14ac:dyDescent="0.3">
      <c r="B24" s="86" t="s">
        <v>118</v>
      </c>
      <c r="C24">
        <f t="shared" si="0"/>
        <v>230</v>
      </c>
      <c r="D24">
        <f t="shared" si="1"/>
        <v>75</v>
      </c>
      <c r="E24">
        <f t="shared" si="2"/>
        <v>210</v>
      </c>
      <c r="F24">
        <f t="shared" si="3"/>
        <v>390</v>
      </c>
    </row>
    <row r="25" spans="2:7" x14ac:dyDescent="0.3">
      <c r="B25" s="86" t="s">
        <v>119</v>
      </c>
      <c r="C25">
        <f t="shared" si="0"/>
        <v>240</v>
      </c>
      <c r="D25">
        <f t="shared" si="1"/>
        <v>75</v>
      </c>
      <c r="E25">
        <f t="shared" si="2"/>
        <v>210</v>
      </c>
      <c r="F25">
        <f t="shared" si="3"/>
        <v>390</v>
      </c>
    </row>
    <row r="26" spans="2:7" x14ac:dyDescent="0.3">
      <c r="B26" s="87" t="s">
        <v>120</v>
      </c>
      <c r="C26">
        <f t="shared" si="0"/>
        <v>250</v>
      </c>
      <c r="D26">
        <f t="shared" si="1"/>
        <v>75</v>
      </c>
      <c r="E26">
        <f t="shared" si="2"/>
        <v>210</v>
      </c>
      <c r="F26">
        <f t="shared" si="3"/>
        <v>390</v>
      </c>
    </row>
    <row r="29" spans="2:7" x14ac:dyDescent="0.3">
      <c r="D29" t="s">
        <v>121</v>
      </c>
      <c r="E29" t="s">
        <v>122</v>
      </c>
      <c r="F29" t="s">
        <v>123</v>
      </c>
    </row>
    <row r="30" spans="2:7" x14ac:dyDescent="0.3">
      <c r="C30">
        <v>50</v>
      </c>
      <c r="D30">
        <v>32</v>
      </c>
      <c r="E30">
        <v>89</v>
      </c>
      <c r="F30">
        <v>140</v>
      </c>
    </row>
    <row r="31" spans="2:7" x14ac:dyDescent="0.3">
      <c r="C31">
        <v>60</v>
      </c>
      <c r="D31">
        <v>34</v>
      </c>
      <c r="E31">
        <v>93</v>
      </c>
      <c r="F31">
        <v>150</v>
      </c>
    </row>
    <row r="32" spans="2:7" x14ac:dyDescent="0.3">
      <c r="C32">
        <v>70</v>
      </c>
      <c r="D32">
        <v>35</v>
      </c>
      <c r="E32">
        <v>100</v>
      </c>
      <c r="F32">
        <v>160</v>
      </c>
    </row>
    <row r="33" spans="3:6" x14ac:dyDescent="0.3">
      <c r="C33">
        <v>80</v>
      </c>
      <c r="D33">
        <v>38</v>
      </c>
      <c r="E33">
        <v>105</v>
      </c>
      <c r="F33">
        <v>170</v>
      </c>
    </row>
    <row r="34" spans="3:6" x14ac:dyDescent="0.3">
      <c r="C34">
        <v>90</v>
      </c>
      <c r="D34">
        <v>40</v>
      </c>
      <c r="E34">
        <v>112</v>
      </c>
      <c r="F34">
        <v>193</v>
      </c>
    </row>
    <row r="35" spans="3:6" x14ac:dyDescent="0.3">
      <c r="C35">
        <v>100</v>
      </c>
      <c r="D35">
        <v>42</v>
      </c>
      <c r="E35">
        <v>128</v>
      </c>
      <c r="F35">
        <v>210</v>
      </c>
    </row>
    <row r="36" spans="3:6" x14ac:dyDescent="0.3">
      <c r="C36">
        <v>110</v>
      </c>
      <c r="D36">
        <v>48</v>
      </c>
      <c r="E36">
        <v>139</v>
      </c>
      <c r="F36">
        <v>230</v>
      </c>
    </row>
    <row r="37" spans="3:6" x14ac:dyDescent="0.3">
      <c r="C37">
        <v>120</v>
      </c>
      <c r="D37">
        <v>50</v>
      </c>
      <c r="E37">
        <v>142</v>
      </c>
      <c r="F37">
        <v>235</v>
      </c>
    </row>
    <row r="38" spans="3:6" x14ac:dyDescent="0.3">
      <c r="C38">
        <v>130</v>
      </c>
      <c r="D38">
        <v>50</v>
      </c>
      <c r="E38">
        <v>145</v>
      </c>
      <c r="F38">
        <v>245</v>
      </c>
    </row>
    <row r="39" spans="3:6" x14ac:dyDescent="0.3">
      <c r="C39">
        <v>140</v>
      </c>
      <c r="D39">
        <v>52</v>
      </c>
      <c r="E39">
        <v>152</v>
      </c>
      <c r="F39">
        <v>250</v>
      </c>
    </row>
    <row r="40" spans="3:6" x14ac:dyDescent="0.3">
      <c r="C40">
        <v>150</v>
      </c>
      <c r="D40">
        <v>58</v>
      </c>
      <c r="E40">
        <v>162</v>
      </c>
      <c r="F40">
        <v>265</v>
      </c>
    </row>
    <row r="41" spans="3:6" x14ac:dyDescent="0.3">
      <c r="C41">
        <v>160</v>
      </c>
      <c r="D41">
        <v>60</v>
      </c>
      <c r="E41">
        <v>180</v>
      </c>
      <c r="F41">
        <v>285</v>
      </c>
    </row>
    <row r="42" spans="3:6" x14ac:dyDescent="0.3">
      <c r="C42">
        <v>170</v>
      </c>
      <c r="D42">
        <v>65</v>
      </c>
      <c r="E42">
        <v>190</v>
      </c>
      <c r="F42">
        <v>310</v>
      </c>
    </row>
    <row r="43" spans="3:6" x14ac:dyDescent="0.3">
      <c r="C43">
        <v>180</v>
      </c>
      <c r="D43">
        <v>68</v>
      </c>
      <c r="E43">
        <v>198</v>
      </c>
      <c r="F43">
        <v>332</v>
      </c>
    </row>
    <row r="44" spans="3:6" x14ac:dyDescent="0.3">
      <c r="C44">
        <v>190</v>
      </c>
      <c r="D44">
        <v>70</v>
      </c>
      <c r="E44">
        <v>207</v>
      </c>
      <c r="F44">
        <v>340</v>
      </c>
    </row>
    <row r="45" spans="3:6" x14ac:dyDescent="0.3">
      <c r="C45">
        <v>200</v>
      </c>
      <c r="D45">
        <v>72</v>
      </c>
      <c r="E45">
        <v>207</v>
      </c>
      <c r="F45">
        <v>365</v>
      </c>
    </row>
    <row r="48" spans="3:6" x14ac:dyDescent="0.3">
      <c r="C48" t="s">
        <v>126</v>
      </c>
      <c r="D48">
        <v>4</v>
      </c>
      <c r="F48" t="s">
        <v>127</v>
      </c>
    </row>
    <row r="49" spans="3:9" x14ac:dyDescent="0.3">
      <c r="D49" s="89">
        <v>10</v>
      </c>
      <c r="E49" s="90">
        <v>10</v>
      </c>
      <c r="F49" s="89">
        <v>20</v>
      </c>
      <c r="G49" s="90">
        <v>20</v>
      </c>
      <c r="H49" s="89">
        <v>30</v>
      </c>
      <c r="I49" s="90">
        <v>30</v>
      </c>
    </row>
    <row r="50" spans="3:9" x14ac:dyDescent="0.3">
      <c r="C50">
        <v>50</v>
      </c>
      <c r="D50">
        <v>32</v>
      </c>
      <c r="E50" cm="1">
        <f t="array" ref="E50">Resistance2PowerLegacy($D$48,$C50, E$49)</f>
        <v>35.098453744201912</v>
      </c>
      <c r="F50">
        <v>89</v>
      </c>
      <c r="G50" cm="1">
        <f t="array" ref="G50">Resistance2PowerLegacy($D$48,$C50, G$49)</f>
        <v>80.339006253835919</v>
      </c>
      <c r="H50">
        <v>140</v>
      </c>
      <c r="I50" cm="1">
        <f t="array" ref="I50">Resistance2PowerLegacy($D$48,$C50, I$49)</f>
        <v>141.01165752890202</v>
      </c>
    </row>
    <row r="51" spans="3:9" x14ac:dyDescent="0.3">
      <c r="C51">
        <v>60</v>
      </c>
      <c r="D51">
        <v>34</v>
      </c>
      <c r="E51" cm="1">
        <f t="array" ref="E51">Resistance2PowerLegacy($D$48,$C51, E$49)</f>
        <v>37.718144493042288</v>
      </c>
      <c r="F51">
        <v>93</v>
      </c>
      <c r="G51" cm="1">
        <f t="array" ref="G51">Resistance2PowerLegacy($D$48,$C51, G$49)</f>
        <v>87.606807504603097</v>
      </c>
      <c r="H51">
        <v>150</v>
      </c>
      <c r="I51" cm="1">
        <f t="array" ref="I51">Resistance2PowerLegacy($D$48,$C51, I$49)</f>
        <v>156.01398903468242</v>
      </c>
    </row>
    <row r="52" spans="3:9" x14ac:dyDescent="0.3">
      <c r="C52">
        <v>70</v>
      </c>
      <c r="D52">
        <v>35</v>
      </c>
      <c r="E52" cm="1">
        <f t="array" ref="E52">Resistance2PowerLegacy($D$48,$C52, E$49)</f>
        <v>40.337835241882672</v>
      </c>
      <c r="F52">
        <v>100</v>
      </c>
      <c r="G52" cm="1">
        <f t="array" ref="G52">Resistance2PowerLegacy($D$48,$C52, G$49)</f>
        <v>94.874608755370289</v>
      </c>
      <c r="H52">
        <v>160</v>
      </c>
      <c r="I52" cm="1">
        <f t="array" ref="I52">Resistance2PowerLegacy($D$48,$C52, I$49)</f>
        <v>171.01632054046283</v>
      </c>
    </row>
    <row r="53" spans="3:9" x14ac:dyDescent="0.3">
      <c r="C53">
        <v>80</v>
      </c>
      <c r="D53">
        <v>38</v>
      </c>
      <c r="E53" cm="1">
        <f t="array" ref="E53">Resistance2PowerLegacy($D$48,$C53, E$49)</f>
        <v>42.957525990723056</v>
      </c>
      <c r="F53">
        <v>105</v>
      </c>
      <c r="G53" cm="1">
        <f t="array" ref="G53">Resistance2PowerLegacy($D$48,$C53, G$49)</f>
        <v>102.14241000613748</v>
      </c>
      <c r="H53">
        <v>170</v>
      </c>
      <c r="I53" cm="1">
        <f t="array" ref="I53">Resistance2PowerLegacy($D$48,$C53, I$49)</f>
        <v>186.01865204624323</v>
      </c>
    </row>
    <row r="54" spans="3:9" x14ac:dyDescent="0.3">
      <c r="C54">
        <v>90</v>
      </c>
      <c r="D54">
        <v>40</v>
      </c>
      <c r="E54" cm="1">
        <f t="array" ref="E54">Resistance2PowerLegacy($D$48,$C54, E$49)</f>
        <v>45.57721673956344</v>
      </c>
      <c r="F54">
        <v>112</v>
      </c>
      <c r="G54" cm="1">
        <f t="array" ref="G54">Resistance2PowerLegacy($D$48,$C54, G$49)</f>
        <v>109.41021125690466</v>
      </c>
      <c r="H54">
        <v>193</v>
      </c>
      <c r="I54" cm="1">
        <f t="array" ref="I54">Resistance2PowerLegacy($D$48,$C54, I$49)</f>
        <v>201.02098355202364</v>
      </c>
    </row>
    <row r="55" spans="3:9" x14ac:dyDescent="0.3">
      <c r="C55">
        <v>100</v>
      </c>
      <c r="D55">
        <v>42</v>
      </c>
      <c r="E55" cm="1">
        <f t="array" ref="E55">Resistance2PowerLegacy($D$48,$C55, E$49)</f>
        <v>48.196907488403824</v>
      </c>
      <c r="F55">
        <v>128</v>
      </c>
      <c r="G55" cm="1">
        <f t="array" ref="G55">Resistance2PowerLegacy($D$48,$C55, G$49)</f>
        <v>116.67801250767184</v>
      </c>
      <c r="H55">
        <v>210</v>
      </c>
      <c r="I55" cm="1">
        <f t="array" ref="I55">Resistance2PowerLegacy($D$48,$C55, I$49)</f>
        <v>216.02331505780404</v>
      </c>
    </row>
    <row r="56" spans="3:9" x14ac:dyDescent="0.3">
      <c r="C56">
        <v>110</v>
      </c>
      <c r="D56">
        <v>48</v>
      </c>
      <c r="E56" cm="1">
        <f t="array" ref="E56">Resistance2PowerLegacy($D$48,$C56, E$49)</f>
        <v>50.8165982372442</v>
      </c>
      <c r="F56">
        <v>139</v>
      </c>
      <c r="G56" cm="1">
        <f t="array" ref="G56">Resistance2PowerLegacy($D$48,$C56, G$49)</f>
        <v>123.94581375843903</v>
      </c>
      <c r="H56">
        <v>230</v>
      </c>
      <c r="I56" cm="1">
        <f t="array" ref="I56">Resistance2PowerLegacy($D$48,$C56, I$49)</f>
        <v>231.02564656358444</v>
      </c>
    </row>
    <row r="57" spans="3:9" x14ac:dyDescent="0.3">
      <c r="C57">
        <v>120</v>
      </c>
      <c r="D57">
        <v>50</v>
      </c>
      <c r="E57" cm="1">
        <f t="array" ref="E57">Resistance2PowerLegacy($D$48,$C57, E$49)</f>
        <v>53.436288986084584</v>
      </c>
      <c r="F57">
        <v>142</v>
      </c>
      <c r="G57" cm="1">
        <f t="array" ref="G57">Resistance2PowerLegacy($D$48,$C57, G$49)</f>
        <v>131.21361500920619</v>
      </c>
      <c r="H57">
        <v>235</v>
      </c>
      <c r="I57" cm="1">
        <f t="array" ref="I57">Resistance2PowerLegacy($D$48,$C57, I$49)</f>
        <v>246.02797806936485</v>
      </c>
    </row>
    <row r="58" spans="3:9" x14ac:dyDescent="0.3">
      <c r="C58">
        <v>130</v>
      </c>
      <c r="D58">
        <v>50</v>
      </c>
      <c r="E58" cm="1">
        <f t="array" ref="E58">Resistance2PowerLegacy($D$48,$C58, E$49)</f>
        <v>56.055979734924968</v>
      </c>
      <c r="F58">
        <v>145</v>
      </c>
      <c r="G58" cm="1">
        <f t="array" ref="G58">Resistance2PowerLegacy($D$48,$C58, G$49)</f>
        <v>138.4814162599734</v>
      </c>
      <c r="H58">
        <v>245</v>
      </c>
      <c r="I58" cm="1">
        <f t="array" ref="I58">Resistance2PowerLegacy($D$48,$C58, I$49)</f>
        <v>261.03030957514522</v>
      </c>
    </row>
    <row r="59" spans="3:9" x14ac:dyDescent="0.3">
      <c r="C59">
        <v>140</v>
      </c>
      <c r="D59">
        <v>52</v>
      </c>
      <c r="E59" cm="1">
        <f t="array" ref="E59">Resistance2PowerLegacy($D$48,$C59, E$49)</f>
        <v>58.675670483765344</v>
      </c>
      <c r="F59">
        <v>152</v>
      </c>
      <c r="G59" cm="1">
        <f t="array" ref="G59">Resistance2PowerLegacy($D$48,$C59, G$49)</f>
        <v>145.74921751074058</v>
      </c>
      <c r="H59">
        <v>250</v>
      </c>
      <c r="I59" cm="1">
        <f t="array" ref="I59">Resistance2PowerLegacy($D$48,$C59, I$49)</f>
        <v>276.03264108092566</v>
      </c>
    </row>
    <row r="60" spans="3:9" x14ac:dyDescent="0.3">
      <c r="C60">
        <v>150</v>
      </c>
      <c r="D60">
        <v>58</v>
      </c>
      <c r="E60" cm="1">
        <f t="array" ref="E60">Resistance2PowerLegacy($D$48,$C60, E$49)</f>
        <v>61.295361232605728</v>
      </c>
      <c r="F60">
        <v>162</v>
      </c>
      <c r="G60" cm="1">
        <f t="array" ref="G60">Resistance2PowerLegacy($D$48,$C60, G$49)</f>
        <v>153.01701876150776</v>
      </c>
      <c r="H60">
        <v>265</v>
      </c>
      <c r="I60" cm="1">
        <f t="array" ref="I60">Resistance2PowerLegacy($D$48,$C60, I$49)</f>
        <v>291.03497258670609</v>
      </c>
    </row>
    <row r="61" spans="3:9" x14ac:dyDescent="0.3">
      <c r="C61">
        <v>160</v>
      </c>
      <c r="D61">
        <v>60</v>
      </c>
      <c r="E61" cm="1">
        <f t="array" ref="E61">Resistance2PowerLegacy($D$48,$C61, E$49)</f>
        <v>63.915051981446112</v>
      </c>
      <c r="F61">
        <v>180</v>
      </c>
      <c r="G61" cm="1">
        <f t="array" ref="G61">Resistance2PowerLegacy($D$48,$C61, G$49)</f>
        <v>160.28482001227496</v>
      </c>
      <c r="H61">
        <v>285</v>
      </c>
      <c r="I61" cm="1">
        <f t="array" ref="I61">Resistance2PowerLegacy($D$48,$C61, I$49)</f>
        <v>306.03730409248647</v>
      </c>
    </row>
    <row r="62" spans="3:9" x14ac:dyDescent="0.3">
      <c r="C62">
        <v>170</v>
      </c>
      <c r="D62">
        <v>65</v>
      </c>
      <c r="E62" cm="1">
        <f t="array" ref="E62">Resistance2PowerLegacy($D$48,$C62, E$49)</f>
        <v>66.534742730286496</v>
      </c>
      <c r="F62">
        <v>190</v>
      </c>
      <c r="G62" cm="1">
        <f t="array" ref="G62">Resistance2PowerLegacy($D$48,$C62, G$49)</f>
        <v>167.55262126304211</v>
      </c>
      <c r="H62">
        <v>310</v>
      </c>
      <c r="I62" cm="1">
        <f t="array" ref="I62">Resistance2PowerLegacy($D$48,$C62, I$49)</f>
        <v>321.03963559826684</v>
      </c>
    </row>
    <row r="63" spans="3:9" x14ac:dyDescent="0.3">
      <c r="C63">
        <v>180</v>
      </c>
      <c r="D63">
        <v>68</v>
      </c>
      <c r="E63" cm="1">
        <f t="array" ref="E63">Resistance2PowerLegacy($D$48,$C63, E$49)</f>
        <v>69.15443347912688</v>
      </c>
      <c r="F63">
        <v>198</v>
      </c>
      <c r="G63" cm="1">
        <f t="array" ref="G63">Resistance2PowerLegacy($D$48,$C63, G$49)</f>
        <v>174.82042251380932</v>
      </c>
      <c r="H63">
        <v>332</v>
      </c>
      <c r="I63" cm="1">
        <f t="array" ref="I63">Resistance2PowerLegacy($D$48,$C63, I$49)</f>
        <v>336.04196710404727</v>
      </c>
    </row>
    <row r="64" spans="3:9" x14ac:dyDescent="0.3">
      <c r="C64">
        <v>190</v>
      </c>
      <c r="D64">
        <v>70</v>
      </c>
      <c r="E64" cm="1">
        <f t="array" ref="E64">Resistance2PowerLegacy($D$48,$C64, E$49)</f>
        <v>71.774124227967263</v>
      </c>
      <c r="F64">
        <v>207</v>
      </c>
      <c r="G64" cm="1">
        <f t="array" ref="G64">Resistance2PowerLegacy($D$48,$C64, G$49)</f>
        <v>182.0882237645765</v>
      </c>
      <c r="H64">
        <v>340</v>
      </c>
      <c r="I64" cm="1">
        <f t="array" ref="I64">Resistance2PowerLegacy($D$48,$C64, I$49)</f>
        <v>351.04429860982771</v>
      </c>
    </row>
    <row r="65" spans="3:9" x14ac:dyDescent="0.3">
      <c r="C65">
        <v>200</v>
      </c>
      <c r="D65">
        <v>72</v>
      </c>
      <c r="E65" cm="1">
        <f t="array" ref="E65">Resistance2PowerLegacy($D$48,$C65, E$49)</f>
        <v>74.393814976807647</v>
      </c>
      <c r="F65">
        <v>207</v>
      </c>
      <c r="G65" cm="1">
        <f t="array" ref="G65">Resistance2PowerLegacy($D$48,$C65, G$49)</f>
        <v>189.35602501534368</v>
      </c>
      <c r="H65">
        <v>365</v>
      </c>
      <c r="I65" cm="1">
        <f t="array" ref="I65">Resistance2PowerLegacy($D$48,$C65, I$49)</f>
        <v>366.04663011560808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6FA6-D1E3-4454-A83C-09392C4030AF}">
  <sheetPr codeName="Sheet6"/>
  <dimension ref="A2:P63"/>
  <sheetViews>
    <sheetView tabSelected="1" workbookViewId="0">
      <pane ySplit="4" topLeftCell="A5" activePane="bottomLeft" state="frozen"/>
      <selection pane="bottomLeft" activeCell="A5" sqref="A5"/>
    </sheetView>
  </sheetViews>
  <sheetFormatPr defaultRowHeight="14.4" x14ac:dyDescent="0.3"/>
  <cols>
    <col min="1" max="1" width="30" bestFit="1" customWidth="1"/>
    <col min="2" max="2" width="16.44140625" bestFit="1" customWidth="1"/>
  </cols>
  <sheetData>
    <row r="2" spans="1:16" x14ac:dyDescent="0.3"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 ht="15" thickBot="1" x14ac:dyDescent="0.35">
      <c r="C3">
        <v>0</v>
      </c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13</v>
      </c>
    </row>
    <row r="4" spans="1:16" ht="15" thickBot="1" x14ac:dyDescent="0.35">
      <c r="A4" t="s">
        <v>128</v>
      </c>
      <c r="B4" t="s">
        <v>129</v>
      </c>
      <c r="C4" s="92">
        <v>1039</v>
      </c>
      <c r="D4" s="93">
        <v>1299</v>
      </c>
      <c r="E4" s="93">
        <v>1559</v>
      </c>
      <c r="F4" s="93">
        <v>1819</v>
      </c>
      <c r="G4" s="93">
        <v>2078</v>
      </c>
      <c r="H4" s="93">
        <v>2338</v>
      </c>
      <c r="I4" s="93">
        <v>2598</v>
      </c>
      <c r="J4" s="93">
        <v>2858</v>
      </c>
      <c r="K4" s="93">
        <v>3118</v>
      </c>
      <c r="L4" s="93">
        <v>3378</v>
      </c>
      <c r="M4" s="93">
        <v>3767</v>
      </c>
      <c r="N4" s="93">
        <v>4027</v>
      </c>
      <c r="O4" s="93">
        <v>4287</v>
      </c>
      <c r="P4" s="93">
        <v>4677</v>
      </c>
    </row>
    <row r="5" spans="1:16" ht="15" thickBot="1" x14ac:dyDescent="0.35">
      <c r="A5" t="s">
        <v>130</v>
      </c>
      <c r="B5" t="s">
        <v>131</v>
      </c>
      <c r="C5" s="94">
        <v>1900</v>
      </c>
      <c r="D5" s="95">
        <v>2030</v>
      </c>
      <c r="E5" s="95">
        <v>2150</v>
      </c>
      <c r="F5" s="95">
        <v>2300</v>
      </c>
      <c r="G5" s="95">
        <v>2400</v>
      </c>
      <c r="H5" s="95">
        <v>2550</v>
      </c>
      <c r="I5" s="95">
        <v>2700</v>
      </c>
      <c r="J5" s="95">
        <v>2900</v>
      </c>
      <c r="K5" s="95">
        <v>3070</v>
      </c>
      <c r="L5" s="95">
        <v>3200</v>
      </c>
      <c r="M5" s="95">
        <v>3350</v>
      </c>
      <c r="N5" s="95">
        <v>3460</v>
      </c>
      <c r="O5" s="95">
        <v>3600</v>
      </c>
      <c r="P5" s="95">
        <v>3750</v>
      </c>
    </row>
    <row r="6" spans="1:16" ht="15" thickBot="1" x14ac:dyDescent="0.35">
      <c r="A6" t="s">
        <v>132</v>
      </c>
      <c r="B6" t="s">
        <v>133</v>
      </c>
      <c r="C6" s="94">
        <v>5.3064999999999998</v>
      </c>
      <c r="D6" s="95">
        <v>5.6007999999999996</v>
      </c>
      <c r="E6" s="95">
        <v>5.9874000000000001</v>
      </c>
      <c r="F6" s="95">
        <v>6.6848000000000001</v>
      </c>
      <c r="G6" s="95">
        <v>7.5042999999999997</v>
      </c>
      <c r="H6" s="95">
        <v>8.4499999999999993</v>
      </c>
      <c r="I6" s="95">
        <v>9.3905999999999992</v>
      </c>
      <c r="J6" s="95">
        <v>10.46</v>
      </c>
      <c r="K6" s="95">
        <v>11.750999999999999</v>
      </c>
      <c r="L6" s="95">
        <v>13.015000000000001</v>
      </c>
      <c r="M6" s="95">
        <v>14.2</v>
      </c>
      <c r="N6" s="95">
        <v>15.3</v>
      </c>
      <c r="O6" s="95">
        <v>16.55</v>
      </c>
      <c r="P6" s="95">
        <v>17.763000000000002</v>
      </c>
    </row>
    <row r="7" spans="1:16" ht="15" thickBot="1" x14ac:dyDescent="0.35">
      <c r="A7" t="s">
        <v>134</v>
      </c>
      <c r="B7" t="s">
        <v>135</v>
      </c>
      <c r="C7" s="94">
        <v>-29.347999999999999</v>
      </c>
      <c r="D7" s="95">
        <v>-33.1</v>
      </c>
      <c r="E7" s="95">
        <v>-37</v>
      </c>
      <c r="F7" s="95">
        <v>-43.813000000000002</v>
      </c>
      <c r="G7" s="95">
        <v>-51.6</v>
      </c>
      <c r="H7" s="95">
        <v>-59.1</v>
      </c>
      <c r="I7" s="95">
        <v>-65.5</v>
      </c>
      <c r="J7" s="95">
        <v>-73.099999999999994</v>
      </c>
      <c r="K7" s="95">
        <v>-80.099999999999994</v>
      </c>
      <c r="L7" s="95">
        <v>-86.507999999999996</v>
      </c>
      <c r="M7" s="95">
        <v>-94.3</v>
      </c>
      <c r="N7" s="95">
        <v>-102.49</v>
      </c>
      <c r="O7" s="95">
        <v>-112</v>
      </c>
      <c r="P7" s="95">
        <v>-124.1</v>
      </c>
    </row>
    <row r="8" spans="1:16" ht="15" thickBot="1" x14ac:dyDescent="0.35">
      <c r="A8" t="s">
        <v>136</v>
      </c>
      <c r="C8" s="94">
        <v>-4.3</v>
      </c>
      <c r="D8" s="95">
        <v>-3.4</v>
      </c>
      <c r="E8" s="95">
        <v>-2.5</v>
      </c>
      <c r="F8" s="95">
        <v>-1.6</v>
      </c>
      <c r="G8" s="95">
        <v>-0.7</v>
      </c>
      <c r="H8" s="95">
        <v>0.5</v>
      </c>
      <c r="I8" s="95">
        <v>1.4</v>
      </c>
      <c r="J8" s="95">
        <v>2.9</v>
      </c>
      <c r="K8" s="95">
        <v>4</v>
      </c>
      <c r="L8" s="95">
        <v>5.6</v>
      </c>
      <c r="M8" s="95">
        <v>7.4</v>
      </c>
      <c r="N8" s="95">
        <v>8.6</v>
      </c>
      <c r="O8" s="95">
        <v>9.8000000000000007</v>
      </c>
      <c r="P8" s="95">
        <v>11</v>
      </c>
    </row>
    <row r="9" spans="1:16" hidden="1" x14ac:dyDescent="0.3"/>
    <row r="10" spans="1:16" hidden="1" x14ac:dyDescent="0.3"/>
    <row r="11" spans="1:16" x14ac:dyDescent="0.3">
      <c r="A11" t="s">
        <v>153</v>
      </c>
      <c r="B11" s="96" t="s">
        <v>135</v>
      </c>
      <c r="C11" s="97">
        <v>4.3</v>
      </c>
      <c r="E11" s="96" t="s">
        <v>133</v>
      </c>
      <c r="F11" s="97">
        <v>2</v>
      </c>
    </row>
    <row r="12" spans="1:16" x14ac:dyDescent="0.3">
      <c r="B12" s="96" t="s">
        <v>137</v>
      </c>
      <c r="C12">
        <f>(C8+$C$11)/$F$11</f>
        <v>0</v>
      </c>
      <c r="D12">
        <f>(D8+$C$11)/$F$11</f>
        <v>0.44999999999999996</v>
      </c>
      <c r="E12">
        <f>(E8+$C$11)/$F$11</f>
        <v>0.89999999999999991</v>
      </c>
      <c r="F12">
        <f>(F8+$C$11)/$F$11</f>
        <v>1.3499999999999999</v>
      </c>
      <c r="G12">
        <f>(G8+$C$11)/$F$11</f>
        <v>1.7999999999999998</v>
      </c>
      <c r="H12">
        <f>(H8+$C$11)/$F$11</f>
        <v>2.4</v>
      </c>
      <c r="I12">
        <f>(I8+$C$11)/$F$11</f>
        <v>2.8499999999999996</v>
      </c>
      <c r="J12">
        <f>(J8+$C$11)/$F$11</f>
        <v>3.5999999999999996</v>
      </c>
      <c r="K12">
        <f>(K8+$C$11)/$F$11</f>
        <v>4.1500000000000004</v>
      </c>
      <c r="L12">
        <f>(L8+$C$11)/$F$11</f>
        <v>4.9499999999999993</v>
      </c>
      <c r="M12">
        <f>(M8+$C$11)/$F$11</f>
        <v>5.85</v>
      </c>
      <c r="N12">
        <f>(N8+$C$11)/$F$11</f>
        <v>6.4499999999999993</v>
      </c>
      <c r="O12">
        <f>(O8+$C$11)/$F$11</f>
        <v>7.0500000000000007</v>
      </c>
      <c r="P12">
        <f>(P8+$C$11)/$F$11</f>
        <v>7.65</v>
      </c>
    </row>
    <row r="13" spans="1:16" x14ac:dyDescent="0.3">
      <c r="B13">
        <v>10</v>
      </c>
      <c r="C13" s="56" cm="1">
        <f t="array" ref="C13">Speed2Power(C$12,$B13)</f>
        <v>37</v>
      </c>
      <c r="D13" s="56" cm="1">
        <f t="array" ref="D13">Speed2Power(D$12,$B13)</f>
        <v>46.565103027343753</v>
      </c>
      <c r="E13" s="56" cm="1">
        <f t="array" ref="E13">Speed2Power(E$12,$B13)</f>
        <v>56.13232421875</v>
      </c>
      <c r="F13" s="56" cm="1">
        <f t="array" ref="F13">Speed2Power(F$12,$B13)</f>
        <v>65.703781738281251</v>
      </c>
      <c r="G13" s="56" cm="1">
        <f t="array" ref="G13">Speed2Power(G$12,$B13)</f>
        <v>75.281593749999985</v>
      </c>
      <c r="H13" s="56" cm="1">
        <f t="array" ref="H13">Speed2Power(H$12,$B13)</f>
        <v>88.065555555555562</v>
      </c>
      <c r="I13" s="56" cm="1">
        <f t="array" ref="I13">Speed2Power(I$12,$B13)</f>
        <v>97.666432020399299</v>
      </c>
      <c r="J13" s="56" cm="1">
        <f t="array" ref="J13">Speed2Power(J$12,$B13)</f>
        <v>113.69874999999999</v>
      </c>
      <c r="K13" s="56" cm="1">
        <f t="array" ref="K13">Speed2Power(K$12,$B13)</f>
        <v>125.48514498738106</v>
      </c>
      <c r="L13" s="56" cm="1">
        <f t="array" ref="L13">Speed2Power(L$12,$B13)</f>
        <v>142.68212939453124</v>
      </c>
      <c r="M13" s="56" cm="1">
        <f t="array" ref="M13">Speed2Power(M$12,$B13)</f>
        <v>162.11735107421873</v>
      </c>
      <c r="N13" s="56" cm="1">
        <f t="array" ref="N13">Speed2Power(N$12,$B13)</f>
        <v>175.13431092664931</v>
      </c>
      <c r="O13" s="56" cm="1">
        <f t="array" ref="O13">Speed2Power(O$12,$B13)</f>
        <v>188.20524473741321</v>
      </c>
      <c r="P13" s="56" cm="1">
        <f t="array" ref="P13">Speed2Power(P$12,$B13)</f>
        <v>201.33517333984375</v>
      </c>
    </row>
    <row r="14" spans="1:16" x14ac:dyDescent="0.3">
      <c r="B14">
        <v>20</v>
      </c>
      <c r="C14" s="56" cm="1">
        <f t="array" ref="C14">Speed2Power(C$12,$B14)</f>
        <v>37</v>
      </c>
      <c r="D14" s="56" cm="1">
        <f t="array" ref="D14">Speed2Power(D$12,$B14)</f>
        <v>55.761978027343744</v>
      </c>
      <c r="E14" s="56" cm="1">
        <f t="array" ref="E14">Speed2Power(E$12,$B14)</f>
        <v>74.526074218749997</v>
      </c>
      <c r="F14" s="56" cm="1">
        <f t="array" ref="F14">Speed2Power(F$12,$B14)</f>
        <v>93.294406738281239</v>
      </c>
      <c r="G14" s="56" cm="1">
        <f t="array" ref="G14">Speed2Power(G$12,$B14)</f>
        <v>112.06909374999999</v>
      </c>
      <c r="H14" s="56" cm="1">
        <f t="array" ref="H14">Speed2Power(H$12,$B14)</f>
        <v>137.11555555555555</v>
      </c>
      <c r="I14" s="56" cm="1">
        <f t="array" ref="I14">Speed2Power(I$12,$B14)</f>
        <v>155.91330702039929</v>
      </c>
      <c r="J14" s="56" cm="1">
        <f t="array" ref="J14">Speed2Power(J$12,$B14)</f>
        <v>187.27374999999998</v>
      </c>
      <c r="K14" s="56" cm="1">
        <f t="array" ref="K14">Speed2Power(K$12,$B14)</f>
        <v>210.30076998738107</v>
      </c>
      <c r="L14" s="56" cm="1">
        <f t="array" ref="L14">Speed2Power(L$12,$B14)</f>
        <v>243.84775439453122</v>
      </c>
      <c r="M14" s="56" cm="1">
        <f t="array" ref="M14">Speed2Power(M$12,$B14)</f>
        <v>281.67672607421872</v>
      </c>
      <c r="N14" s="56" cm="1">
        <f t="array" ref="N14">Speed2Power(N$12,$B14)</f>
        <v>306.95618592664931</v>
      </c>
      <c r="O14" s="56" cm="1">
        <f t="array" ref="O14">Speed2Power(O$12,$B14)</f>
        <v>332.28961973741326</v>
      </c>
      <c r="P14" s="56" cm="1">
        <f t="array" ref="P14">Speed2Power(P$12,$B14)</f>
        <v>357.68204833984379</v>
      </c>
    </row>
    <row r="15" spans="1:16" x14ac:dyDescent="0.3">
      <c r="B15">
        <v>30</v>
      </c>
      <c r="C15" s="56" cm="1">
        <f t="array" ref="C15">Speed2Power(C$12,$B15)</f>
        <v>37</v>
      </c>
      <c r="D15" s="56" cm="1">
        <f t="array" ref="D15">Speed2Power(D$12,$B15)</f>
        <v>64.95885302734375</v>
      </c>
      <c r="E15" s="56" cm="1">
        <f t="array" ref="E15">Speed2Power(E$12,$B15)</f>
        <v>92.919824218749994</v>
      </c>
      <c r="F15" s="56" cm="1">
        <f t="array" ref="F15">Speed2Power(F$12,$B15)</f>
        <v>120.88503173828124</v>
      </c>
      <c r="G15" s="56" cm="1">
        <f t="array" ref="G15">Speed2Power(G$12,$B15)</f>
        <v>148.85659375</v>
      </c>
      <c r="H15" s="56" cm="1">
        <f t="array" ref="H15">Speed2Power(H$12,$B15)</f>
        <v>186.16555555555556</v>
      </c>
      <c r="I15" s="56" cm="1">
        <f t="array" ref="I15">Speed2Power(I$12,$B15)</f>
        <v>214.1601820203993</v>
      </c>
      <c r="J15" s="56" cm="1">
        <f t="array" ref="J15">Speed2Power(J$12,$B15)</f>
        <v>260.84875</v>
      </c>
      <c r="K15" s="56" cm="1">
        <f t="array" ref="K15">Speed2Power(K$12,$B15)</f>
        <v>295.11639498738111</v>
      </c>
      <c r="L15" s="56" cm="1">
        <f t="array" ref="L15">Speed2Power(L$12,$B15)</f>
        <v>345.01337939453123</v>
      </c>
      <c r="M15" s="56" cm="1">
        <f t="array" ref="M15">Speed2Power(M$12,$B15)</f>
        <v>401.23610107421871</v>
      </c>
      <c r="N15" s="56" cm="1">
        <f t="array" ref="N15">Speed2Power(N$12,$B15)</f>
        <v>438.77806092664929</v>
      </c>
      <c r="O15" s="56" cm="1">
        <f t="array" ref="O15">Speed2Power(O$12,$B15)</f>
        <v>476.37399473741328</v>
      </c>
      <c r="P15" s="56" cm="1">
        <f t="array" ref="P15">Speed2Power(P$12,$B15)</f>
        <v>514.0289233398438</v>
      </c>
    </row>
    <row r="16" spans="1:16" x14ac:dyDescent="0.3">
      <c r="B16">
        <v>40</v>
      </c>
      <c r="C16" s="56" cm="1">
        <f t="array" ref="C16">Speed2Power(C$12,$B16)</f>
        <v>37</v>
      </c>
      <c r="D16" s="56" cm="1">
        <f t="array" ref="D16">Speed2Power(D$12,$B16)</f>
        <v>74.155728027343741</v>
      </c>
      <c r="E16" s="56" cm="1">
        <f t="array" ref="E16">Speed2Power(E$12,$B16)</f>
        <v>111.31357421874999</v>
      </c>
      <c r="F16" s="56" cm="1">
        <f t="array" ref="F16">Speed2Power(F$12,$B16)</f>
        <v>148.47565673828123</v>
      </c>
      <c r="G16" s="56" cm="1">
        <f t="array" ref="G16">Speed2Power(G$12,$B16)</f>
        <v>185.64409374999997</v>
      </c>
      <c r="H16" s="56" cm="1">
        <f t="array" ref="H16">Speed2Power(H$12,$B16)</f>
        <v>235.21555555555554</v>
      </c>
      <c r="I16" s="56" cm="1">
        <f t="array" ref="I16">Speed2Power(I$12,$B16)</f>
        <v>272.40705702039929</v>
      </c>
      <c r="J16" s="56" cm="1">
        <f t="array" ref="J16">Speed2Power(J$12,$B16)</f>
        <v>334.42374999999993</v>
      </c>
      <c r="K16" s="56" cm="1">
        <f t="array" ref="K16">Speed2Power(K$12,$B16)</f>
        <v>379.93201998738107</v>
      </c>
      <c r="L16" s="56" cm="1">
        <f t="array" ref="L16">Speed2Power(L$12,$B16)</f>
        <v>446.1790043945312</v>
      </c>
      <c r="M16" s="56" cm="1">
        <f t="array" ref="M16">Speed2Power(M$12,$B16)</f>
        <v>520.79547607421864</v>
      </c>
      <c r="N16" s="56" cm="1">
        <f t="array" ref="N16">Speed2Power(N$12,$B16)</f>
        <v>570.59993592664932</v>
      </c>
      <c r="O16" s="56" cm="1">
        <f t="array" ref="O16">Speed2Power(O$12,$B16)</f>
        <v>620.45836973741325</v>
      </c>
      <c r="P16" s="56" cm="1">
        <f t="array" ref="P16">Speed2Power(P$12,$B16)</f>
        <v>670.37579833984375</v>
      </c>
    </row>
    <row r="17" spans="1:16" x14ac:dyDescent="0.3">
      <c r="B17">
        <v>50</v>
      </c>
      <c r="C17" s="56" cm="1">
        <f t="array" ref="C17">Speed2Power(C$12,$B17)</f>
        <v>37</v>
      </c>
      <c r="D17" s="56" cm="1">
        <f t="array" ref="D17">Speed2Power(D$12,$B17)</f>
        <v>83.352603027343747</v>
      </c>
      <c r="E17" s="56" cm="1">
        <f t="array" ref="E17">Speed2Power(E$12,$B17)</f>
        <v>129.70732421874999</v>
      </c>
      <c r="F17" s="56" cm="1">
        <f t="array" ref="F17">Speed2Power(F$12,$B17)</f>
        <v>176.06628173828122</v>
      </c>
      <c r="G17" s="56" cm="1">
        <f t="array" ref="G17">Speed2Power(G$12,$B17)</f>
        <v>222.43159374999996</v>
      </c>
      <c r="H17" s="56" cm="1">
        <f t="array" ref="H17">Speed2Power(H$12,$B17)</f>
        <v>284.26555555555558</v>
      </c>
      <c r="I17" s="56" cm="1">
        <f t="array" ref="I17">Speed2Power(I$12,$B17)</f>
        <v>330.65393202039922</v>
      </c>
      <c r="J17" s="56" cm="1">
        <f t="array" ref="J17">Speed2Power(J$12,$B17)</f>
        <v>407.99874999999992</v>
      </c>
      <c r="K17" s="56" cm="1">
        <f t="array" ref="K17">Speed2Power(K$12,$B17)</f>
        <v>464.74764498738108</v>
      </c>
      <c r="L17" s="56" cm="1">
        <f t="array" ref="L17">Speed2Power(L$12,$B17)</f>
        <v>547.34462939453124</v>
      </c>
      <c r="M17" s="56" cm="1">
        <f t="array" ref="M17">Speed2Power(M$12,$B17)</f>
        <v>640.35485107421869</v>
      </c>
      <c r="N17" s="56" cm="1">
        <f t="array" ref="N17">Speed2Power(N$12,$B17)</f>
        <v>702.4218109266493</v>
      </c>
      <c r="O17" s="56" cm="1">
        <f t="array" ref="O17">Speed2Power(O$12,$B17)</f>
        <v>764.54274473741316</v>
      </c>
      <c r="P17" s="56" cm="1">
        <f t="array" ref="P17">Speed2Power(P$12,$B17)</f>
        <v>826.72267333984371</v>
      </c>
    </row>
    <row r="20" spans="1:16" x14ac:dyDescent="0.3">
      <c r="A20" t="s">
        <v>138</v>
      </c>
      <c r="B20" t="s">
        <v>139</v>
      </c>
      <c r="C20" s="56">
        <f t="shared" ref="C20:P20" si="0">C4/C6</f>
        <v>195.79760670875342</v>
      </c>
      <c r="D20" s="56">
        <f t="shared" si="0"/>
        <v>231.93115269247252</v>
      </c>
      <c r="E20" s="56">
        <f t="shared" si="0"/>
        <v>260.38013160971371</v>
      </c>
      <c r="F20" s="56">
        <f t="shared" si="0"/>
        <v>272.10986117759694</v>
      </c>
      <c r="G20" s="56">
        <f t="shared" si="0"/>
        <v>276.9079061338166</v>
      </c>
      <c r="H20" s="56">
        <f t="shared" si="0"/>
        <v>276.68639053254441</v>
      </c>
      <c r="I20" s="56">
        <f t="shared" si="0"/>
        <v>276.65963836176604</v>
      </c>
      <c r="J20" s="56">
        <f t="shared" si="0"/>
        <v>273.23135755258124</v>
      </c>
      <c r="K20" s="56">
        <f t="shared" si="0"/>
        <v>265.33912007488726</v>
      </c>
      <c r="L20" s="56">
        <f t="shared" si="0"/>
        <v>259.54667691125621</v>
      </c>
      <c r="M20" s="56">
        <f t="shared" si="0"/>
        <v>265.28169014084506</v>
      </c>
      <c r="N20" s="56">
        <f t="shared" si="0"/>
        <v>263.20261437908493</v>
      </c>
      <c r="O20" s="56">
        <f t="shared" si="0"/>
        <v>259.03323262839876</v>
      </c>
      <c r="P20" s="56">
        <f t="shared" si="0"/>
        <v>263.30011822327305</v>
      </c>
    </row>
    <row r="21" spans="1:16" x14ac:dyDescent="0.3">
      <c r="B21" t="s">
        <v>140</v>
      </c>
      <c r="C21" s="56">
        <f t="shared" ref="C21:P21" si="1">C4/C7</f>
        <v>-35.402753168870113</v>
      </c>
      <c r="D21" s="56">
        <f t="shared" si="1"/>
        <v>-39.244712990936556</v>
      </c>
      <c r="E21" s="56">
        <f t="shared" si="1"/>
        <v>-42.135135135135137</v>
      </c>
      <c r="F21" s="56">
        <f t="shared" si="1"/>
        <v>-41.517357861821829</v>
      </c>
      <c r="G21" s="56">
        <f t="shared" si="1"/>
        <v>-40.271317829457367</v>
      </c>
      <c r="H21" s="56">
        <f t="shared" si="1"/>
        <v>-39.560067681895092</v>
      </c>
      <c r="I21" s="56">
        <f t="shared" si="1"/>
        <v>-39.664122137404583</v>
      </c>
      <c r="J21" s="56">
        <f t="shared" si="1"/>
        <v>-39.097127222982216</v>
      </c>
      <c r="K21" s="56">
        <f t="shared" si="1"/>
        <v>-38.92634207240949</v>
      </c>
      <c r="L21" s="56">
        <f t="shared" si="1"/>
        <v>-39.048411707587739</v>
      </c>
      <c r="M21" s="56">
        <f t="shared" si="1"/>
        <v>-39.946977730646871</v>
      </c>
      <c r="N21" s="56">
        <f t="shared" si="1"/>
        <v>-39.291638208605718</v>
      </c>
      <c r="O21" s="56">
        <f t="shared" si="1"/>
        <v>-38.276785714285715</v>
      </c>
      <c r="P21" s="56">
        <f t="shared" si="1"/>
        <v>-37.687348912167607</v>
      </c>
    </row>
    <row r="22" spans="1:16" x14ac:dyDescent="0.3"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</row>
    <row r="23" spans="1:16" x14ac:dyDescent="0.3">
      <c r="A23" t="s">
        <v>141</v>
      </c>
      <c r="B23" t="s">
        <v>139</v>
      </c>
      <c r="C23" s="56">
        <f>268-C29</f>
        <v>216</v>
      </c>
      <c r="D23" s="56">
        <f>268-D29</f>
        <v>233.33333333333334</v>
      </c>
      <c r="E23" s="56">
        <f>268-E29</f>
        <v>250.66666666666666</v>
      </c>
      <c r="F23" s="56">
        <v>268</v>
      </c>
      <c r="G23" s="56">
        <v>268</v>
      </c>
      <c r="H23" s="56">
        <v>268</v>
      </c>
      <c r="I23" s="56">
        <v>268</v>
      </c>
      <c r="J23" s="56">
        <v>268</v>
      </c>
      <c r="K23" s="56">
        <v>268</v>
      </c>
      <c r="L23" s="56">
        <v>268</v>
      </c>
      <c r="M23" s="56">
        <v>268</v>
      </c>
      <c r="N23" s="56">
        <v>268</v>
      </c>
      <c r="O23" s="56">
        <v>268</v>
      </c>
      <c r="P23" s="56">
        <v>268</v>
      </c>
    </row>
    <row r="24" spans="1:16" x14ac:dyDescent="0.3">
      <c r="B24" t="s">
        <v>140</v>
      </c>
      <c r="C24">
        <v>-40</v>
      </c>
      <c r="D24">
        <v>-40</v>
      </c>
      <c r="E24">
        <v>-40</v>
      </c>
      <c r="F24">
        <v>-40</v>
      </c>
      <c r="G24">
        <v>-40</v>
      </c>
      <c r="H24">
        <v>-40</v>
      </c>
      <c r="I24">
        <v>-40</v>
      </c>
      <c r="J24">
        <v>-40</v>
      </c>
      <c r="K24">
        <v>-40</v>
      </c>
      <c r="L24">
        <v>-40</v>
      </c>
      <c r="M24">
        <v>-40</v>
      </c>
      <c r="N24">
        <v>-40</v>
      </c>
      <c r="O24">
        <v>-40</v>
      </c>
      <c r="P24">
        <v>-40</v>
      </c>
    </row>
    <row r="26" spans="1:16" x14ac:dyDescent="0.3">
      <c r="A26" s="99" t="s">
        <v>142</v>
      </c>
      <c r="B26" s="99" t="s">
        <v>143</v>
      </c>
      <c r="C26" s="100">
        <f>268-C20</f>
        <v>72.20239329124658</v>
      </c>
      <c r="D26" s="100">
        <f>268-D20</f>
        <v>36.068847307527477</v>
      </c>
      <c r="E26" s="100">
        <f>268-E20</f>
        <v>7.6198683902862854</v>
      </c>
      <c r="F26" s="100"/>
      <c r="G26" s="99"/>
      <c r="H26" s="99"/>
      <c r="I26" s="99"/>
      <c r="J26" s="99"/>
      <c r="K26" s="99"/>
      <c r="L26" s="99"/>
      <c r="M26" s="99"/>
      <c r="N26" s="99"/>
      <c r="O26" s="99"/>
      <c r="P26" s="99"/>
    </row>
    <row r="27" spans="1:16" x14ac:dyDescent="0.3">
      <c r="A27" s="99"/>
      <c r="B27" s="99" t="s">
        <v>144</v>
      </c>
      <c r="C27" s="99">
        <f>$F$4-C4</f>
        <v>780</v>
      </c>
      <c r="D27" s="99">
        <f>$F$4-D4</f>
        <v>520</v>
      </c>
      <c r="E27" s="99">
        <f>$F$4-E4</f>
        <v>260</v>
      </c>
      <c r="F27" s="99">
        <f>$F$4-F4</f>
        <v>0</v>
      </c>
      <c r="G27" s="99"/>
      <c r="H27" s="99"/>
      <c r="I27" s="99"/>
      <c r="J27" s="99"/>
      <c r="K27" s="99"/>
      <c r="L27" s="99"/>
      <c r="M27" s="99"/>
      <c r="N27" s="99"/>
      <c r="O27" s="99"/>
      <c r="P27" s="99"/>
    </row>
    <row r="28" spans="1:16" x14ac:dyDescent="0.3">
      <c r="A28" s="99"/>
      <c r="B28" s="99" t="s">
        <v>133</v>
      </c>
      <c r="C28" s="101">
        <f>C27/C26</f>
        <v>10.80296600216108</v>
      </c>
      <c r="D28" s="101">
        <f>D27/D26</f>
        <v>14.416873252599823</v>
      </c>
      <c r="E28" s="101">
        <f>E27/E26</f>
        <v>34.12132423854522</v>
      </c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</row>
    <row r="29" spans="1:16" x14ac:dyDescent="0.3">
      <c r="A29" s="99"/>
      <c r="B29" s="99">
        <v>15</v>
      </c>
      <c r="C29" s="99">
        <f>C27/$B$29</f>
        <v>52</v>
      </c>
      <c r="D29" s="99">
        <f>D27/$B$29</f>
        <v>34.666666666666664</v>
      </c>
      <c r="E29" s="99">
        <f>E27/$B$29</f>
        <v>17.333333333333332</v>
      </c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</row>
    <row r="30" spans="1:16" x14ac:dyDescent="0.3">
      <c r="A30" s="99"/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</row>
    <row r="31" spans="1:16" x14ac:dyDescent="0.3">
      <c r="A31" t="s">
        <v>145</v>
      </c>
      <c r="B31" s="102">
        <v>10</v>
      </c>
      <c r="C31" s="103">
        <f t="shared" ref="C31:P35" si="2">$B31*C$6+C$7</f>
        <v>23.716999999999999</v>
      </c>
      <c r="D31" s="103">
        <f t="shared" si="2"/>
        <v>22.907999999999994</v>
      </c>
      <c r="E31" s="103">
        <f t="shared" si="2"/>
        <v>22.874000000000002</v>
      </c>
      <c r="F31" s="103">
        <f t="shared" si="2"/>
        <v>23.034999999999997</v>
      </c>
      <c r="G31" s="103">
        <f t="shared" si="2"/>
        <v>23.442999999999991</v>
      </c>
      <c r="H31" s="103">
        <f t="shared" si="2"/>
        <v>25.4</v>
      </c>
      <c r="I31" s="103">
        <f t="shared" si="2"/>
        <v>28.405999999999992</v>
      </c>
      <c r="J31" s="103">
        <f t="shared" si="2"/>
        <v>31.500000000000014</v>
      </c>
      <c r="K31" s="103">
        <f t="shared" si="2"/>
        <v>37.409999999999997</v>
      </c>
      <c r="L31" s="103">
        <f t="shared" si="2"/>
        <v>43.64200000000001</v>
      </c>
      <c r="M31" s="103">
        <f t="shared" si="2"/>
        <v>47.7</v>
      </c>
      <c r="N31" s="103">
        <f t="shared" si="2"/>
        <v>50.510000000000005</v>
      </c>
      <c r="O31" s="103">
        <f t="shared" si="2"/>
        <v>53.5</v>
      </c>
      <c r="P31" s="103">
        <f t="shared" si="2"/>
        <v>53.53000000000003</v>
      </c>
    </row>
    <row r="32" spans="1:16" x14ac:dyDescent="0.3">
      <c r="B32" s="102">
        <v>20</v>
      </c>
      <c r="C32" s="103">
        <f t="shared" si="2"/>
        <v>76.781999999999996</v>
      </c>
      <c r="D32" s="103">
        <f t="shared" si="2"/>
        <v>78.915999999999997</v>
      </c>
      <c r="E32" s="103">
        <f t="shared" si="2"/>
        <v>82.748000000000005</v>
      </c>
      <c r="F32" s="103">
        <f t="shared" si="2"/>
        <v>89.882999999999996</v>
      </c>
      <c r="G32" s="103">
        <f t="shared" si="2"/>
        <v>98.48599999999999</v>
      </c>
      <c r="H32" s="103">
        <f t="shared" si="2"/>
        <v>109.9</v>
      </c>
      <c r="I32" s="103">
        <f t="shared" si="2"/>
        <v>122.31199999999998</v>
      </c>
      <c r="J32" s="103">
        <f t="shared" si="2"/>
        <v>136.10000000000002</v>
      </c>
      <c r="K32" s="103">
        <f t="shared" si="2"/>
        <v>154.91999999999999</v>
      </c>
      <c r="L32" s="103">
        <f t="shared" si="2"/>
        <v>173.79200000000003</v>
      </c>
      <c r="M32" s="103">
        <f t="shared" si="2"/>
        <v>189.7</v>
      </c>
      <c r="N32" s="103">
        <f t="shared" si="2"/>
        <v>203.51</v>
      </c>
      <c r="O32" s="103">
        <f t="shared" si="2"/>
        <v>219</v>
      </c>
      <c r="P32" s="103">
        <f t="shared" si="2"/>
        <v>231.16000000000005</v>
      </c>
    </row>
    <row r="33" spans="1:16" x14ac:dyDescent="0.3">
      <c r="B33" s="102">
        <v>30</v>
      </c>
      <c r="C33" s="103">
        <f t="shared" si="2"/>
        <v>129.84699999999998</v>
      </c>
      <c r="D33" s="103">
        <f t="shared" si="2"/>
        <v>134.92400000000001</v>
      </c>
      <c r="E33" s="103">
        <f t="shared" si="2"/>
        <v>142.62200000000001</v>
      </c>
      <c r="F33" s="103">
        <f t="shared" si="2"/>
        <v>156.73099999999999</v>
      </c>
      <c r="G33" s="103">
        <f t="shared" si="2"/>
        <v>173.529</v>
      </c>
      <c r="H33" s="103">
        <f t="shared" si="2"/>
        <v>194.39999999999998</v>
      </c>
      <c r="I33" s="103">
        <f t="shared" si="2"/>
        <v>216.21799999999996</v>
      </c>
      <c r="J33" s="103">
        <f t="shared" si="2"/>
        <v>240.70000000000002</v>
      </c>
      <c r="K33" s="103">
        <f t="shared" si="2"/>
        <v>272.42999999999995</v>
      </c>
      <c r="L33" s="103">
        <f t="shared" si="2"/>
        <v>303.94200000000006</v>
      </c>
      <c r="M33" s="103">
        <f t="shared" si="2"/>
        <v>331.7</v>
      </c>
      <c r="N33" s="103">
        <f t="shared" si="2"/>
        <v>356.51</v>
      </c>
      <c r="O33" s="103">
        <f t="shared" si="2"/>
        <v>384.5</v>
      </c>
      <c r="P33" s="103">
        <f t="shared" si="2"/>
        <v>408.79000000000008</v>
      </c>
    </row>
    <row r="34" spans="1:16" x14ac:dyDescent="0.3">
      <c r="B34" s="102">
        <v>40</v>
      </c>
      <c r="C34" s="103">
        <f t="shared" si="2"/>
        <v>182.91199999999998</v>
      </c>
      <c r="D34" s="103">
        <f t="shared" si="2"/>
        <v>190.93199999999999</v>
      </c>
      <c r="E34" s="103">
        <f t="shared" si="2"/>
        <v>202.49600000000001</v>
      </c>
      <c r="F34" s="103">
        <f t="shared" si="2"/>
        <v>223.57900000000001</v>
      </c>
      <c r="G34" s="103">
        <f t="shared" si="2"/>
        <v>248.57199999999997</v>
      </c>
      <c r="H34" s="103">
        <f t="shared" si="2"/>
        <v>278.89999999999998</v>
      </c>
      <c r="I34" s="103">
        <f t="shared" si="2"/>
        <v>310.12399999999997</v>
      </c>
      <c r="J34" s="103">
        <f t="shared" si="2"/>
        <v>345.30000000000007</v>
      </c>
      <c r="K34" s="103">
        <f t="shared" si="2"/>
        <v>389.93999999999994</v>
      </c>
      <c r="L34" s="103">
        <f t="shared" si="2"/>
        <v>434.09200000000004</v>
      </c>
      <c r="M34" s="103">
        <f t="shared" si="2"/>
        <v>473.7</v>
      </c>
      <c r="N34" s="103">
        <f t="shared" si="2"/>
        <v>509.51</v>
      </c>
      <c r="O34" s="103">
        <f t="shared" si="2"/>
        <v>550</v>
      </c>
      <c r="P34" s="103">
        <f t="shared" si="2"/>
        <v>586.42000000000007</v>
      </c>
    </row>
    <row r="35" spans="1:16" x14ac:dyDescent="0.3">
      <c r="B35" s="102">
        <v>50</v>
      </c>
      <c r="C35" s="103">
        <f t="shared" si="2"/>
        <v>235.97699999999998</v>
      </c>
      <c r="D35" s="103">
        <f t="shared" si="2"/>
        <v>246.93999999999997</v>
      </c>
      <c r="E35" s="103">
        <f t="shared" si="2"/>
        <v>262.37</v>
      </c>
      <c r="F35" s="103">
        <f t="shared" si="2"/>
        <v>290.42700000000002</v>
      </c>
      <c r="G35" s="103">
        <f t="shared" si="2"/>
        <v>323.61499999999995</v>
      </c>
      <c r="H35" s="103">
        <f t="shared" si="2"/>
        <v>363.39999999999992</v>
      </c>
      <c r="I35" s="103">
        <f t="shared" si="2"/>
        <v>404.03</v>
      </c>
      <c r="J35" s="103">
        <f t="shared" si="2"/>
        <v>449.9</v>
      </c>
      <c r="K35" s="103">
        <f t="shared" si="2"/>
        <v>507.44999999999993</v>
      </c>
      <c r="L35" s="103">
        <f t="shared" si="2"/>
        <v>564.24199999999996</v>
      </c>
      <c r="M35" s="103">
        <f t="shared" si="2"/>
        <v>615.70000000000005</v>
      </c>
      <c r="N35" s="103">
        <f t="shared" si="2"/>
        <v>662.51</v>
      </c>
      <c r="O35" s="103">
        <f t="shared" si="2"/>
        <v>715.5</v>
      </c>
      <c r="P35" s="103">
        <f t="shared" si="2"/>
        <v>764.05000000000007</v>
      </c>
    </row>
    <row r="36" spans="1:16" x14ac:dyDescent="0.3"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</row>
    <row r="37" spans="1:16" x14ac:dyDescent="0.3">
      <c r="A37" t="s">
        <v>146</v>
      </c>
      <c r="C37" s="104" t="s">
        <v>147</v>
      </c>
      <c r="D37" s="105"/>
      <c r="E37" s="106"/>
      <c r="F37" s="107"/>
      <c r="G37" s="108"/>
      <c r="H37" s="108"/>
      <c r="I37" s="109"/>
      <c r="J37" s="110"/>
      <c r="K37" s="105"/>
      <c r="L37" s="105"/>
      <c r="M37" s="105"/>
      <c r="N37" s="105"/>
      <c r="O37" s="105"/>
      <c r="P37" s="111" t="s">
        <v>148</v>
      </c>
    </row>
    <row r="38" spans="1:16" x14ac:dyDescent="0.3">
      <c r="B38" s="102">
        <v>10</v>
      </c>
      <c r="C38" s="112" cm="1">
        <f t="array" ref="C38">Res2Power($B38,C$4)</f>
        <v>22.126851851851846</v>
      </c>
      <c r="D38" s="103" cm="1">
        <f t="array" ref="D38">Res2Power($B38,D$4)</f>
        <v>23.276072961373387</v>
      </c>
      <c r="E38" s="113" cm="1">
        <f t="array" ref="E38">Res2Power($B38,E$4)</f>
        <v>23.136553784860556</v>
      </c>
      <c r="F38" s="112" cm="1">
        <f t="array" ref="F38">Res2Power($B38,F$4)</f>
        <v>22.3981343283582</v>
      </c>
      <c r="G38" s="103" cm="1">
        <f t="array" ref="G38">Res2Power($B38,G$4)</f>
        <v>25.58731343283581</v>
      </c>
      <c r="H38" s="103" cm="1">
        <f t="array" ref="H38">Res2Power($B38,H$4)</f>
        <v>28.788805970149244</v>
      </c>
      <c r="I38" s="103" cm="1">
        <f t="array" ref="I38">Res2Power($B38,I$4)</f>
        <v>31.990298507462676</v>
      </c>
      <c r="J38" s="103" cm="1">
        <f t="array" ref="J38">Res2Power($B38,J$4)</f>
        <v>35.191791044776103</v>
      </c>
      <c r="K38" s="103" cm="1">
        <f t="array" ref="K38">Res2Power($B38,K$4)</f>
        <v>38.393283582089538</v>
      </c>
      <c r="L38" s="103" cm="1">
        <f t="array" ref="L38">Res2Power($B38,L$4)</f>
        <v>41.594776119402972</v>
      </c>
      <c r="M38" s="103" cm="1">
        <f t="array" ref="M38">Res2Power($B38,M$4)</f>
        <v>46.384701492537296</v>
      </c>
      <c r="N38" s="103" cm="1">
        <f t="array" ref="N38">Res2Power($B38,N$4)</f>
        <v>49.586194029850731</v>
      </c>
      <c r="O38" s="103" cm="1">
        <f t="array" ref="O38">Res2Power($B38,O$4)</f>
        <v>52.787686567164158</v>
      </c>
      <c r="P38" s="113" cm="1">
        <f t="array" ref="P38">Res2Power($B38,P$4)</f>
        <v>57.589925373134307</v>
      </c>
    </row>
    <row r="39" spans="1:16" x14ac:dyDescent="0.3">
      <c r="B39" s="102">
        <v>20</v>
      </c>
      <c r="C39" s="112" cm="1">
        <f t="array" ref="C39">Res2Power($B39,C$4)</f>
        <v>70.228703703703701</v>
      </c>
      <c r="D39" s="103" cm="1">
        <f t="array" ref="D39">Res2Power($B39,D$4)</f>
        <v>79.027145922746783</v>
      </c>
      <c r="E39" s="113" cm="1">
        <f t="array" ref="E39">Res2Power($B39,E$4)</f>
        <v>85.248107569721114</v>
      </c>
      <c r="F39" s="112" cm="1">
        <f t="array" ref="F39">Res2Power($B39,F$4)</f>
        <v>90.271268656716401</v>
      </c>
      <c r="G39" s="103" cm="1">
        <f t="array" ref="G39">Res2Power($B39,G$4)</f>
        <v>103.12462686567163</v>
      </c>
      <c r="H39" s="103" cm="1">
        <f t="array" ref="H39">Res2Power($B39,H$4)</f>
        <v>116.02761194029848</v>
      </c>
      <c r="I39" s="103" cm="1">
        <f t="array" ref="I39">Res2Power($B39,I$4)</f>
        <v>128.93059701492535</v>
      </c>
      <c r="J39" s="103" cm="1">
        <f t="array" ref="J39">Res2Power($B39,J$4)</f>
        <v>141.83358208955221</v>
      </c>
      <c r="K39" s="103" cm="1">
        <f t="array" ref="K39">Res2Power($B39,K$4)</f>
        <v>154.73656716417909</v>
      </c>
      <c r="L39" s="103" cm="1">
        <f t="array" ref="L39">Res2Power($B39,L$4)</f>
        <v>167.63955223880595</v>
      </c>
      <c r="M39" s="103" cm="1">
        <f t="array" ref="M39">Res2Power($B39,M$4)</f>
        <v>186.94440298507459</v>
      </c>
      <c r="N39" s="103" cm="1">
        <f t="array" ref="N39">Res2Power($B39,N$4)</f>
        <v>199.84738805970147</v>
      </c>
      <c r="O39" s="103" cm="1">
        <f t="array" ref="O39">Res2Power($B39,O$4)</f>
        <v>212.75037313432833</v>
      </c>
      <c r="P39" s="113" cm="1">
        <f t="array" ref="P39">Res2Power($B39,P$4)</f>
        <v>232.10485074626862</v>
      </c>
    </row>
    <row r="40" spans="1:16" x14ac:dyDescent="0.3">
      <c r="B40" s="102">
        <v>30</v>
      </c>
      <c r="C40" s="112" cm="1">
        <f t="array" ref="C40">Res2Power($B40,C$4)</f>
        <v>118.33055555555556</v>
      </c>
      <c r="D40" s="103" cm="1">
        <f t="array" ref="D40">Res2Power($B40,D$4)</f>
        <v>134.77821888412018</v>
      </c>
      <c r="E40" s="113" cm="1">
        <f t="array" ref="E40">Res2Power($B40,E$4)</f>
        <v>147.3596613545817</v>
      </c>
      <c r="F40" s="112" cm="1">
        <f t="array" ref="F40">Res2Power($B40,F$4)</f>
        <v>158.14440298507461</v>
      </c>
      <c r="G40" s="103" cm="1">
        <f t="array" ref="G40">Res2Power($B40,G$4)</f>
        <v>180.66194029850746</v>
      </c>
      <c r="H40" s="103" cm="1">
        <f t="array" ref="H40">Res2Power($B40,H$4)</f>
        <v>203.26641791044776</v>
      </c>
      <c r="I40" s="103" cm="1">
        <f t="array" ref="I40">Res2Power($B40,I$4)</f>
        <v>225.87089552238805</v>
      </c>
      <c r="J40" s="103" cm="1">
        <f t="array" ref="J40">Res2Power($B40,J$4)</f>
        <v>248.47537313432835</v>
      </c>
      <c r="K40" s="103" cm="1">
        <f t="array" ref="K40">Res2Power($B40,K$4)</f>
        <v>271.07985074626862</v>
      </c>
      <c r="L40" s="103" cm="1">
        <f t="array" ref="L40">Res2Power($B40,L$4)</f>
        <v>293.68432835820892</v>
      </c>
      <c r="M40" s="103" cm="1">
        <f t="array" ref="M40">Res2Power($B40,M$4)</f>
        <v>327.50410447761192</v>
      </c>
      <c r="N40" s="103" cm="1">
        <f t="array" ref="N40">Res2Power($B40,N$4)</f>
        <v>350.10858208955221</v>
      </c>
      <c r="O40" s="103" cm="1">
        <f t="array" ref="O40">Res2Power($B40,O$4)</f>
        <v>372.71305970149251</v>
      </c>
      <c r="P40" s="113" cm="1">
        <f t="array" ref="P40">Res2Power($B40,P$4)</f>
        <v>406.61977611940296</v>
      </c>
    </row>
    <row r="41" spans="1:16" x14ac:dyDescent="0.3">
      <c r="B41" s="102">
        <v>40</v>
      </c>
      <c r="C41" s="112" cm="1">
        <f t="array" ref="C41">Res2Power($B41,C$4)</f>
        <v>166.4324074074074</v>
      </c>
      <c r="D41" s="103" cm="1">
        <f t="array" ref="D41">Res2Power($B41,D$4)</f>
        <v>190.52929184549356</v>
      </c>
      <c r="E41" s="113" cm="1">
        <f t="array" ref="E41">Res2Power($B41,E$4)</f>
        <v>209.47121513944222</v>
      </c>
      <c r="F41" s="112" cm="1">
        <f t="array" ref="F41">Res2Power($B41,F$4)</f>
        <v>226.01753731343283</v>
      </c>
      <c r="G41" s="103" cm="1">
        <f t="array" ref="G41">Res2Power($B41,G$4)</f>
        <v>258.19925373134328</v>
      </c>
      <c r="H41" s="103" cm="1">
        <f t="array" ref="H41">Res2Power($B41,H$4)</f>
        <v>290.50522388059699</v>
      </c>
      <c r="I41" s="103" cm="1">
        <f t="array" ref="I41">Res2Power($B41,I$4)</f>
        <v>322.81119402985075</v>
      </c>
      <c r="J41" s="103" cm="1">
        <f t="array" ref="J41">Res2Power($B41,J$4)</f>
        <v>355.11716417910446</v>
      </c>
      <c r="K41" s="103" cm="1">
        <f t="array" ref="K41">Res2Power($B41,K$4)</f>
        <v>387.42313432835817</v>
      </c>
      <c r="L41" s="103" cm="1">
        <f t="array" ref="L41">Res2Power($B41,L$4)</f>
        <v>419.72910447761194</v>
      </c>
      <c r="M41" s="103" cm="1">
        <f t="array" ref="M41">Res2Power($B41,M$4)</f>
        <v>468.06380597014925</v>
      </c>
      <c r="N41" s="103" cm="1">
        <f t="array" ref="N41">Res2Power($B41,N$4)</f>
        <v>500.36977611940296</v>
      </c>
      <c r="O41" s="103" cm="1">
        <f t="array" ref="O41">Res2Power($B41,O$4)</f>
        <v>532.67574626865667</v>
      </c>
      <c r="P41" s="113" cm="1">
        <f t="array" ref="P41">Res2Power($B41,P$4)</f>
        <v>581.13470149253726</v>
      </c>
    </row>
    <row r="42" spans="1:16" x14ac:dyDescent="0.3">
      <c r="B42" s="102">
        <v>50</v>
      </c>
      <c r="C42" s="114" cm="1">
        <f t="array" ref="C42">Res2Power($B42,C$4)</f>
        <v>214.53425925925927</v>
      </c>
      <c r="D42" s="115" cm="1">
        <f t="array" ref="D42">Res2Power($B42,D$4)</f>
        <v>246.28036480686697</v>
      </c>
      <c r="E42" s="116" cm="1">
        <f t="array" ref="E42">Res2Power($B42,E$4)</f>
        <v>271.5827689243028</v>
      </c>
      <c r="F42" s="114" cm="1">
        <f t="array" ref="F42">Res2Power($B42,F$4)</f>
        <v>293.89067164179107</v>
      </c>
      <c r="G42" s="115" cm="1">
        <f t="array" ref="G42">Res2Power($B42,G$4)</f>
        <v>335.73656716417912</v>
      </c>
      <c r="H42" s="115" cm="1">
        <f t="array" ref="H42">Res2Power($B42,H$4)</f>
        <v>377.7440298507463</v>
      </c>
      <c r="I42" s="115" cm="1">
        <f t="array" ref="I42">Res2Power($B42,I$4)</f>
        <v>419.75149253731348</v>
      </c>
      <c r="J42" s="115" cm="1">
        <f t="array" ref="J42">Res2Power($B42,J$4)</f>
        <v>461.75895522388066</v>
      </c>
      <c r="K42" s="115" cm="1">
        <f t="array" ref="K42">Res2Power($B42,K$4)</f>
        <v>503.76641791044779</v>
      </c>
      <c r="L42" s="115" cm="1">
        <f t="array" ref="L42">Res2Power($B42,L$4)</f>
        <v>545.77388059701502</v>
      </c>
      <c r="M42" s="115" cm="1">
        <f t="array" ref="M42">Res2Power($B42,M$4)</f>
        <v>608.62350746268658</v>
      </c>
      <c r="N42" s="115" cm="1">
        <f t="array" ref="N42">Res2Power($B42,N$4)</f>
        <v>650.63097014925381</v>
      </c>
      <c r="O42" s="115" cm="1">
        <f t="array" ref="O42">Res2Power($B42,O$4)</f>
        <v>692.63843283582094</v>
      </c>
      <c r="P42" s="116" cm="1">
        <f t="array" ref="P42">Res2Power($B42,P$4)</f>
        <v>755.64962686567173</v>
      </c>
    </row>
    <row r="44" spans="1:16" x14ac:dyDescent="0.3">
      <c r="A44" t="s">
        <v>149</v>
      </c>
      <c r="B44" s="55">
        <f t="shared" ref="B44:P48" si="3">B38/B31-1</f>
        <v>0</v>
      </c>
      <c r="C44" s="55">
        <f t="shared" si="3"/>
        <v>-6.7046765954722476E-2</v>
      </c>
      <c r="D44" s="55">
        <f t="shared" si="3"/>
        <v>1.6067442001632237E-2</v>
      </c>
      <c r="E44" s="55">
        <f t="shared" si="3"/>
        <v>1.1478262868783506E-2</v>
      </c>
      <c r="F44" s="55">
        <f t="shared" si="3"/>
        <v>-2.7647739163959018E-2</v>
      </c>
      <c r="G44" s="55">
        <f t="shared" si="3"/>
        <v>9.1469241685612657E-2</v>
      </c>
      <c r="H44" s="55">
        <f t="shared" si="3"/>
        <v>0.13341755787989151</v>
      </c>
      <c r="I44" s="55">
        <f t="shared" si="3"/>
        <v>0.12618103595939889</v>
      </c>
      <c r="J44" s="55">
        <f t="shared" si="3"/>
        <v>0.11719971570717735</v>
      </c>
      <c r="K44" s="55">
        <f t="shared" si="3"/>
        <v>2.6283977067349307E-2</v>
      </c>
      <c r="L44" s="55">
        <f t="shared" si="3"/>
        <v>-4.6909488121466447E-2</v>
      </c>
      <c r="M44" s="55">
        <f t="shared" si="3"/>
        <v>-2.7574392189993802E-2</v>
      </c>
      <c r="N44" s="55">
        <f t="shared" si="3"/>
        <v>-1.8289565831504095E-2</v>
      </c>
      <c r="O44" s="55">
        <f t="shared" si="3"/>
        <v>-1.3314269772632503E-2</v>
      </c>
      <c r="P44" s="55">
        <f t="shared" si="3"/>
        <v>7.5843926268153838E-2</v>
      </c>
    </row>
    <row r="45" spans="1:16" x14ac:dyDescent="0.3">
      <c r="B45" s="55">
        <f t="shared" si="3"/>
        <v>0</v>
      </c>
      <c r="C45" s="55">
        <f t="shared" si="3"/>
        <v>-8.5349382619576142E-2</v>
      </c>
      <c r="D45" s="55">
        <f t="shared" si="3"/>
        <v>1.4084079622229684E-3</v>
      </c>
      <c r="E45" s="55">
        <f t="shared" si="3"/>
        <v>3.0213510534648602E-2</v>
      </c>
      <c r="F45" s="55">
        <f t="shared" si="3"/>
        <v>4.3197118110922528E-3</v>
      </c>
      <c r="G45" s="55">
        <f t="shared" si="3"/>
        <v>4.7099352859001797E-2</v>
      </c>
      <c r="H45" s="55">
        <f t="shared" si="3"/>
        <v>5.5756250594162671E-2</v>
      </c>
      <c r="I45" s="55">
        <f t="shared" si="3"/>
        <v>5.411240937050632E-2</v>
      </c>
      <c r="J45" s="55">
        <f t="shared" si="3"/>
        <v>4.2127715573491376E-2</v>
      </c>
      <c r="K45" s="55">
        <f t="shared" si="3"/>
        <v>-1.1840487724044113E-3</v>
      </c>
      <c r="L45" s="55">
        <f t="shared" si="3"/>
        <v>-3.5401213871720683E-2</v>
      </c>
      <c r="M45" s="55">
        <f t="shared" si="3"/>
        <v>-1.4526078096602002E-2</v>
      </c>
      <c r="N45" s="55">
        <f t="shared" si="3"/>
        <v>-1.7997208689000677E-2</v>
      </c>
      <c r="O45" s="55">
        <f t="shared" si="3"/>
        <v>-2.8537108975669745E-2</v>
      </c>
      <c r="P45" s="55">
        <f t="shared" si="3"/>
        <v>4.0874318492325479E-3</v>
      </c>
    </row>
    <row r="46" spans="1:16" x14ac:dyDescent="0.3">
      <c r="B46" s="55">
        <f t="shared" si="3"/>
        <v>0</v>
      </c>
      <c r="C46" s="55">
        <f t="shared" si="3"/>
        <v>-8.8692418341928758E-2</v>
      </c>
      <c r="D46" s="55">
        <f t="shared" si="3"/>
        <v>-1.0804683813097071E-3</v>
      </c>
      <c r="E46" s="55">
        <f t="shared" si="3"/>
        <v>3.3218306815089527E-2</v>
      </c>
      <c r="F46" s="55">
        <f t="shared" si="3"/>
        <v>9.0180180377501529E-3</v>
      </c>
      <c r="G46" s="55">
        <f t="shared" si="3"/>
        <v>4.110517722402296E-2</v>
      </c>
      <c r="H46" s="55">
        <f t="shared" si="3"/>
        <v>4.5609145629875503E-2</v>
      </c>
      <c r="I46" s="55">
        <f t="shared" si="3"/>
        <v>4.4644273475788809E-2</v>
      </c>
      <c r="J46" s="55">
        <f t="shared" si="3"/>
        <v>3.2303170479137222E-2</v>
      </c>
      <c r="K46" s="55">
        <f t="shared" si="3"/>
        <v>-4.9559492483622902E-3</v>
      </c>
      <c r="L46" s="55">
        <f t="shared" si="3"/>
        <v>-3.3748779838887466E-2</v>
      </c>
      <c r="M46" s="55">
        <f t="shared" si="3"/>
        <v>-1.2649669949918785E-2</v>
      </c>
      <c r="N46" s="55">
        <f t="shared" si="3"/>
        <v>-1.795578780524465E-2</v>
      </c>
      <c r="O46" s="55">
        <f t="shared" si="3"/>
        <v>-3.0655241348524043E-2</v>
      </c>
      <c r="P46" s="55">
        <f t="shared" si="3"/>
        <v>-5.3088966965852968E-3</v>
      </c>
    </row>
    <row r="47" spans="1:16" x14ac:dyDescent="0.3">
      <c r="B47" s="55">
        <f t="shared" si="3"/>
        <v>0</v>
      </c>
      <c r="C47" s="55">
        <f t="shared" si="3"/>
        <v>-9.0095743267760375E-2</v>
      </c>
      <c r="D47" s="55">
        <f t="shared" si="3"/>
        <v>-2.109170565994356E-3</v>
      </c>
      <c r="E47" s="55">
        <f t="shared" si="3"/>
        <v>3.4446187279957297E-2</v>
      </c>
      <c r="F47" s="55">
        <f t="shared" si="3"/>
        <v>1.0906826282579329E-2</v>
      </c>
      <c r="G47" s="55">
        <f t="shared" si="3"/>
        <v>3.8730242068065968E-2</v>
      </c>
      <c r="H47" s="55">
        <f t="shared" si="3"/>
        <v>4.1610698747210462E-2</v>
      </c>
      <c r="I47" s="55">
        <f t="shared" si="3"/>
        <v>4.0910068327026483E-2</v>
      </c>
      <c r="J47" s="55">
        <f t="shared" si="3"/>
        <v>2.8430825887936217E-2</v>
      </c>
      <c r="K47" s="55">
        <f t="shared" si="3"/>
        <v>-6.4544947213462933E-3</v>
      </c>
      <c r="L47" s="55">
        <f t="shared" si="3"/>
        <v>-3.3087215434488781E-2</v>
      </c>
      <c r="M47" s="55">
        <f t="shared" si="3"/>
        <v>-1.1898235232954968E-2</v>
      </c>
      <c r="N47" s="55">
        <f t="shared" si="3"/>
        <v>-1.7939243352627088E-2</v>
      </c>
      <c r="O47" s="55">
        <f t="shared" si="3"/>
        <v>-3.1498643147896965E-2</v>
      </c>
      <c r="P47" s="55">
        <f t="shared" si="3"/>
        <v>-9.0128210283804133E-3</v>
      </c>
    </row>
    <row r="48" spans="1:16" x14ac:dyDescent="0.3">
      <c r="B48" s="55">
        <f t="shared" si="3"/>
        <v>0</v>
      </c>
      <c r="C48" s="55">
        <f t="shared" si="3"/>
        <v>-9.0867926707860147E-2</v>
      </c>
      <c r="D48" s="55">
        <f t="shared" si="3"/>
        <v>-2.6712367098606915E-3</v>
      </c>
      <c r="E48" s="55">
        <f t="shared" si="3"/>
        <v>3.5113652186998578E-2</v>
      </c>
      <c r="F48" s="55">
        <f t="shared" si="3"/>
        <v>1.192613511068541E-2</v>
      </c>
      <c r="G48" s="55">
        <f t="shared" si="3"/>
        <v>3.745675313004404E-2</v>
      </c>
      <c r="H48" s="55">
        <f t="shared" si="3"/>
        <v>3.9471738719720317E-2</v>
      </c>
      <c r="I48" s="55">
        <f t="shared" si="3"/>
        <v>3.8911696006023178E-2</v>
      </c>
      <c r="J48" s="55">
        <f t="shared" si="3"/>
        <v>2.6359091406714219E-2</v>
      </c>
      <c r="K48" s="55">
        <f t="shared" si="3"/>
        <v>-7.2590050045366894E-3</v>
      </c>
      <c r="L48" s="55">
        <f t="shared" si="3"/>
        <v>-3.2730848471019369E-2</v>
      </c>
      <c r="M48" s="55">
        <f t="shared" si="3"/>
        <v>-1.1493410000509074E-2</v>
      </c>
      <c r="N48" s="55">
        <f t="shared" si="3"/>
        <v>-1.7930340448817694E-2</v>
      </c>
      <c r="O48" s="55">
        <f t="shared" si="3"/>
        <v>-3.1951875840921073E-2</v>
      </c>
      <c r="P48" s="55">
        <f t="shared" si="3"/>
        <v>-1.0994533256106664E-2</v>
      </c>
    </row>
    <row r="50" spans="1:16" x14ac:dyDescent="0.3">
      <c r="A50" t="s">
        <v>150</v>
      </c>
      <c r="B50" t="s">
        <v>151</v>
      </c>
    </row>
    <row r="51" spans="1:16" x14ac:dyDescent="0.3">
      <c r="B51" s="102">
        <v>10</v>
      </c>
      <c r="C51" cm="1">
        <f t="array" ref="C51">Power2Res($B51,C38)</f>
        <v>1039</v>
      </c>
      <c r="D51" cm="1">
        <f t="array" ref="D51">Power2Res($B51,D38)</f>
        <v>1299</v>
      </c>
      <c r="E51" cm="1">
        <f t="array" ref="E51">Power2Res($B51,E38)</f>
        <v>1299</v>
      </c>
      <c r="F51" cm="1">
        <f t="array" ref="F51">Power2Res($B51,F38)</f>
        <v>1299</v>
      </c>
      <c r="G51" cm="1">
        <f t="array" ref="G51">Power2Res($B51,G38)</f>
        <v>2078</v>
      </c>
      <c r="H51" cm="1">
        <f t="array" ref="H51">Power2Res($B51,H38)</f>
        <v>2338</v>
      </c>
      <c r="I51" cm="1">
        <f t="array" ref="I51">Power2Res($B51,I38)</f>
        <v>2598</v>
      </c>
      <c r="J51" cm="1">
        <f t="array" ref="J51">Power2Res($B51,J38)</f>
        <v>2858</v>
      </c>
      <c r="K51" cm="1">
        <f t="array" ref="K51">Power2Res($B51,K38)</f>
        <v>3118</v>
      </c>
      <c r="L51" cm="1">
        <f t="array" ref="L51">Power2Res($B51,L38)</f>
        <v>3378</v>
      </c>
      <c r="M51" cm="1">
        <f t="array" ref="M51">Power2Res($B51,M38)</f>
        <v>3767</v>
      </c>
      <c r="N51" cm="1">
        <f t="array" ref="N51">Power2Res($B51,N38)</f>
        <v>4027</v>
      </c>
      <c r="O51" cm="1">
        <f t="array" ref="O51">Power2Res($B51,O38)</f>
        <v>4287</v>
      </c>
      <c r="P51" cm="1">
        <f t="array" ref="P51">Power2Res($B51,P38)</f>
        <v>4677</v>
      </c>
    </row>
    <row r="52" spans="1:16" x14ac:dyDescent="0.3">
      <c r="B52" s="102">
        <v>20</v>
      </c>
      <c r="C52" cm="1">
        <f t="array" ref="C52">Power2Res($B52,C39)</f>
        <v>1039</v>
      </c>
      <c r="D52" cm="1">
        <f t="array" ref="D52">Power2Res($B52,D39)</f>
        <v>1299</v>
      </c>
      <c r="E52" cm="1">
        <f t="array" ref="E52">Power2Res($B52,E39)</f>
        <v>1559</v>
      </c>
      <c r="F52" cm="1">
        <f t="array" ref="F52">Power2Res($B52,F39)</f>
        <v>1819</v>
      </c>
      <c r="G52" cm="1">
        <f t="array" ref="G52">Power2Res($B52,G39)</f>
        <v>2078</v>
      </c>
      <c r="H52" cm="1">
        <f t="array" ref="H52">Power2Res($B52,H39)</f>
        <v>2338</v>
      </c>
      <c r="I52" cm="1">
        <f t="array" ref="I52">Power2Res($B52,I39)</f>
        <v>2598</v>
      </c>
      <c r="J52" cm="1">
        <f t="array" ref="J52">Power2Res($B52,J39)</f>
        <v>2858</v>
      </c>
      <c r="K52" cm="1">
        <f t="array" ref="K52">Power2Res($B52,K39)</f>
        <v>3118</v>
      </c>
      <c r="L52" cm="1">
        <f t="array" ref="L52">Power2Res($B52,L39)</f>
        <v>3378</v>
      </c>
      <c r="M52" cm="1">
        <f t="array" ref="M52">Power2Res($B52,M39)</f>
        <v>3767</v>
      </c>
      <c r="N52" cm="1">
        <f t="array" ref="N52">Power2Res($B52,N39)</f>
        <v>4027</v>
      </c>
      <c r="O52" cm="1">
        <f t="array" ref="O52">Power2Res($B52,O39)</f>
        <v>4287</v>
      </c>
      <c r="P52" cm="1">
        <f t="array" ref="P52">Power2Res($B52,P39)</f>
        <v>4677</v>
      </c>
    </row>
    <row r="53" spans="1:16" x14ac:dyDescent="0.3">
      <c r="B53" s="102">
        <v>30</v>
      </c>
      <c r="C53" cm="1">
        <f t="array" ref="C53">Power2Res($B53,C40)</f>
        <v>1039</v>
      </c>
      <c r="D53" cm="1">
        <f t="array" ref="D53">Power2Res($B53,D40)</f>
        <v>1299</v>
      </c>
      <c r="E53" cm="1">
        <f t="array" ref="E53">Power2Res($B53,E40)</f>
        <v>1559</v>
      </c>
      <c r="F53" cm="1">
        <f t="array" ref="F53">Power2Res($B53,F40)</f>
        <v>1819</v>
      </c>
      <c r="G53" cm="1">
        <f t="array" ref="G53">Power2Res($B53,G40)</f>
        <v>2078</v>
      </c>
      <c r="H53" cm="1">
        <f t="array" ref="H53">Power2Res($B53,H40)</f>
        <v>2338</v>
      </c>
      <c r="I53" cm="1">
        <f t="array" ref="I53">Power2Res($B53,I40)</f>
        <v>2598</v>
      </c>
      <c r="J53" cm="1">
        <f t="array" ref="J53">Power2Res($B53,J40)</f>
        <v>2858</v>
      </c>
      <c r="K53" cm="1">
        <f t="array" ref="K53">Power2Res($B53,K40)</f>
        <v>3117.9999999999995</v>
      </c>
      <c r="L53" cm="1">
        <f t="array" ref="L53">Power2Res($B53,L40)</f>
        <v>3377.9999999999995</v>
      </c>
      <c r="M53" cm="1">
        <f t="array" ref="M53">Power2Res($B53,M40)</f>
        <v>3767</v>
      </c>
      <c r="N53" cm="1">
        <f t="array" ref="N53">Power2Res($B53,N40)</f>
        <v>4027</v>
      </c>
      <c r="O53" cm="1">
        <f t="array" ref="O53">Power2Res($B53,O40)</f>
        <v>4287</v>
      </c>
      <c r="P53" cm="1">
        <f t="array" ref="P53">Power2Res($B53,P40)</f>
        <v>4677</v>
      </c>
    </row>
    <row r="54" spans="1:16" x14ac:dyDescent="0.3">
      <c r="B54" s="102">
        <v>40</v>
      </c>
      <c r="C54" cm="1">
        <f t="array" ref="C54">Power2Res($B54,C41)</f>
        <v>1039</v>
      </c>
      <c r="D54" cm="1">
        <f t="array" ref="D54">Power2Res($B54,D41)</f>
        <v>1299</v>
      </c>
      <c r="E54" cm="1">
        <f t="array" ref="E54">Power2Res($B54,E41)</f>
        <v>1559</v>
      </c>
      <c r="F54" cm="1">
        <f t="array" ref="F54">Power2Res($B54,F41)</f>
        <v>1819</v>
      </c>
      <c r="G54" cm="1">
        <f t="array" ref="G54">Power2Res($B54,G41)</f>
        <v>2078</v>
      </c>
      <c r="H54" cm="1">
        <f t="array" ref="H54">Power2Res($B54,H41)</f>
        <v>2338</v>
      </c>
      <c r="I54" cm="1">
        <f t="array" ref="I54">Power2Res($B54,I41)</f>
        <v>2598</v>
      </c>
      <c r="J54" cm="1">
        <f t="array" ref="J54">Power2Res($B54,J41)</f>
        <v>2858</v>
      </c>
      <c r="K54" cm="1">
        <f t="array" ref="K54">Power2Res($B54,K41)</f>
        <v>3118</v>
      </c>
      <c r="L54" cm="1">
        <f t="array" ref="L54">Power2Res($B54,L41)</f>
        <v>3378</v>
      </c>
      <c r="M54" cm="1">
        <f t="array" ref="M54">Power2Res($B54,M41)</f>
        <v>3767</v>
      </c>
      <c r="N54" cm="1">
        <f t="array" ref="N54">Power2Res($B54,N41)</f>
        <v>4027</v>
      </c>
      <c r="O54" cm="1">
        <f t="array" ref="O54">Power2Res($B54,O41)</f>
        <v>4287</v>
      </c>
      <c r="P54" cm="1">
        <f t="array" ref="P54">Power2Res($B54,P41)</f>
        <v>4677</v>
      </c>
    </row>
    <row r="55" spans="1:16" x14ac:dyDescent="0.3">
      <c r="B55" s="102">
        <v>50</v>
      </c>
      <c r="C55" cm="1">
        <f t="array" ref="C55">Power2Res($B55,C42)</f>
        <v>1039</v>
      </c>
      <c r="D55" cm="1">
        <f t="array" ref="D55">Power2Res($B55,D42)</f>
        <v>1299</v>
      </c>
      <c r="E55" cm="1">
        <f t="array" ref="E55">Power2Res($B55,E42)</f>
        <v>1559</v>
      </c>
      <c r="F55" cm="1">
        <f t="array" ref="F55">Power2Res($B55,F42)</f>
        <v>1819</v>
      </c>
      <c r="G55" cm="1">
        <f t="array" ref="G55">Power2Res($B55,G42)</f>
        <v>2078</v>
      </c>
      <c r="H55" cm="1">
        <f t="array" ref="H55">Power2Res($B55,H42)</f>
        <v>2338</v>
      </c>
      <c r="I55" cm="1">
        <f t="array" ref="I55">Power2Res($B55,I42)</f>
        <v>2598</v>
      </c>
      <c r="J55" cm="1">
        <f t="array" ref="J55">Power2Res($B55,J42)</f>
        <v>2858</v>
      </c>
      <c r="K55" cm="1">
        <f t="array" ref="K55">Power2Res($B55,K42)</f>
        <v>3118</v>
      </c>
      <c r="L55" cm="1">
        <f t="array" ref="L55">Power2Res($B55,L42)</f>
        <v>3378.0000000000005</v>
      </c>
      <c r="M55" cm="1">
        <f t="array" ref="M55">Power2Res($B55,M42)</f>
        <v>3766.9999999999995</v>
      </c>
      <c r="N55" cm="1">
        <f t="array" ref="N55">Power2Res($B55,N42)</f>
        <v>4027</v>
      </c>
      <c r="O55" cm="1">
        <f t="array" ref="O55">Power2Res($B55,O42)</f>
        <v>4287</v>
      </c>
      <c r="P55" cm="1">
        <f t="array" ref="P55">Power2Res($B55,P42)</f>
        <v>4677</v>
      </c>
    </row>
    <row r="57" spans="1:16" x14ac:dyDescent="0.3">
      <c r="A57" t="s">
        <v>150</v>
      </c>
      <c r="B57" t="s">
        <v>152</v>
      </c>
    </row>
    <row r="58" spans="1:16" x14ac:dyDescent="0.3">
      <c r="C58" s="117">
        <v>100</v>
      </c>
      <c r="D58" s="117">
        <v>150</v>
      </c>
      <c r="E58" s="117">
        <v>200</v>
      </c>
      <c r="F58" s="117">
        <v>250</v>
      </c>
      <c r="G58" s="117">
        <v>300</v>
      </c>
      <c r="H58" s="117">
        <v>350</v>
      </c>
      <c r="I58" s="117">
        <v>400</v>
      </c>
      <c r="J58" s="117">
        <v>450</v>
      </c>
      <c r="K58" s="117">
        <v>500</v>
      </c>
      <c r="L58" s="117">
        <v>550</v>
      </c>
      <c r="M58" s="117">
        <v>600</v>
      </c>
      <c r="N58" s="117">
        <v>650</v>
      </c>
      <c r="O58" s="117">
        <v>700</v>
      </c>
      <c r="P58" s="117">
        <v>750</v>
      </c>
    </row>
    <row r="59" spans="1:16" x14ac:dyDescent="0.3">
      <c r="B59" s="102">
        <v>10</v>
      </c>
      <c r="C59" s="56" cm="1">
        <f t="array" ref="C59">Power2Res($B59,C$58)</f>
        <v>4677</v>
      </c>
      <c r="D59" s="56" cm="1">
        <f t="array" ref="D59">Power2Res($B59,D$58)</f>
        <v>4677</v>
      </c>
      <c r="E59" s="56" cm="1">
        <f t="array" ref="E59">Power2Res($B59,E$58)</f>
        <v>4677</v>
      </c>
      <c r="F59" s="56" cm="1">
        <f t="array" ref="F59">Power2Res($B59,F$58)</f>
        <v>4677</v>
      </c>
      <c r="G59" s="56" cm="1">
        <f t="array" ref="G59">Power2Res($B59,G$58)</f>
        <v>4677</v>
      </c>
      <c r="H59" s="56" cm="1">
        <f t="array" ref="H59">Power2Res($B59,H$58)</f>
        <v>4677</v>
      </c>
      <c r="I59" s="56" cm="1">
        <f t="array" ref="I59">Power2Res($B59,I$58)</f>
        <v>4677</v>
      </c>
      <c r="J59" s="56" cm="1">
        <f t="array" ref="J59">Power2Res($B59,J$58)</f>
        <v>4677</v>
      </c>
      <c r="K59" s="56" cm="1">
        <f t="array" ref="K59">Power2Res($B59,K$58)</f>
        <v>4677</v>
      </c>
      <c r="L59" s="56" cm="1">
        <f t="array" ref="L59">Power2Res($B59,L$58)</f>
        <v>4677</v>
      </c>
      <c r="M59" s="56" cm="1">
        <f t="array" ref="M59">Power2Res($B59,M$58)</f>
        <v>4677</v>
      </c>
      <c r="N59" s="56" cm="1">
        <f t="array" ref="N59">Power2Res($B59,N$58)</f>
        <v>4677</v>
      </c>
      <c r="O59" s="56" cm="1">
        <f t="array" ref="O59">Power2Res($B59,O$58)</f>
        <v>4677</v>
      </c>
      <c r="P59" s="56" cm="1">
        <f t="array" ref="P59">Power2Res($B59,P$58)</f>
        <v>4677</v>
      </c>
    </row>
    <row r="60" spans="1:16" x14ac:dyDescent="0.3">
      <c r="B60" s="102">
        <v>20</v>
      </c>
      <c r="C60" s="56" cm="1">
        <f t="array" ref="C60">Power2Res($B60,C$58)</f>
        <v>2078</v>
      </c>
      <c r="D60" s="56" cm="1">
        <f t="array" ref="D60">Power2Res($B60,D$58)</f>
        <v>3118</v>
      </c>
      <c r="E60" s="56" cm="1">
        <f t="array" ref="E60">Power2Res($B60,E$58)</f>
        <v>4287</v>
      </c>
      <c r="F60" s="56" cm="1">
        <f t="array" ref="F60">Power2Res($B60,F$58)</f>
        <v>4677</v>
      </c>
      <c r="G60" s="56" cm="1">
        <f t="array" ref="G60">Power2Res($B60,G$58)</f>
        <v>4677</v>
      </c>
      <c r="H60" s="56" cm="1">
        <f t="array" ref="H60">Power2Res($B60,H$58)</f>
        <v>4677</v>
      </c>
      <c r="I60" s="56" cm="1">
        <f t="array" ref="I60">Power2Res($B60,I$58)</f>
        <v>4677</v>
      </c>
      <c r="J60" s="56" cm="1">
        <f t="array" ref="J60">Power2Res($B60,J$58)</f>
        <v>4677</v>
      </c>
      <c r="K60" s="56" cm="1">
        <f t="array" ref="K60">Power2Res($B60,K$58)</f>
        <v>4677</v>
      </c>
      <c r="L60" s="56" cm="1">
        <f t="array" ref="L60">Power2Res($B60,L$58)</f>
        <v>4677</v>
      </c>
      <c r="M60" s="56" cm="1">
        <f t="array" ref="M60">Power2Res($B60,M$58)</f>
        <v>4677</v>
      </c>
      <c r="N60" s="56" cm="1">
        <f t="array" ref="N60">Power2Res($B60,N$58)</f>
        <v>4677</v>
      </c>
      <c r="O60" s="56" cm="1">
        <f t="array" ref="O60">Power2Res($B60,O$58)</f>
        <v>4677</v>
      </c>
      <c r="P60" s="56" cm="1">
        <f t="array" ref="P60">Power2Res($B60,P$58)</f>
        <v>4677</v>
      </c>
    </row>
    <row r="61" spans="1:16" x14ac:dyDescent="0.3">
      <c r="B61" s="102">
        <v>30</v>
      </c>
      <c r="C61" s="56" cm="1">
        <f t="array" ref="C61">Power2Res($B61,C$58)</f>
        <v>1039</v>
      </c>
      <c r="D61" s="56" cm="1">
        <f t="array" ref="D61">Power2Res($B61,D$58)</f>
        <v>1819</v>
      </c>
      <c r="E61" s="56" cm="1">
        <f t="array" ref="E61">Power2Res($B61,E$58)</f>
        <v>2300.4291845493563</v>
      </c>
      <c r="F61" s="56" cm="1">
        <f t="array" ref="F61">Power2Res($B61,F$58)</f>
        <v>2875.5364806866955</v>
      </c>
      <c r="G61" s="56" cm="1">
        <f t="array" ref="G61">Power2Res($B61,G$58)</f>
        <v>3450.6437768240344</v>
      </c>
      <c r="H61" s="56" cm="1">
        <f t="array" ref="H61">Power2Res($B61,H$58)</f>
        <v>4025.7510729613737</v>
      </c>
      <c r="I61" s="56" cm="1">
        <f t="array" ref="I61">Power2Res($B61,I$58)</f>
        <v>4600.8583690987125</v>
      </c>
      <c r="J61" s="56" cm="1">
        <f t="array" ref="J61">Power2Res($B61,J$58)</f>
        <v>5175.9656652360518</v>
      </c>
      <c r="K61" s="56" cm="1">
        <f t="array" ref="K61">Power2Res($B61,K$58)</f>
        <v>5751.0729613733911</v>
      </c>
      <c r="L61" s="56" cm="1">
        <f t="array" ref="L61">Power2Res($B61,L$58)</f>
        <v>6326.1802575107304</v>
      </c>
      <c r="M61" s="56" cm="1">
        <f t="array" ref="M61">Power2Res($B61,M$58)</f>
        <v>6901.2875536480688</v>
      </c>
      <c r="N61" s="56" cm="1">
        <f t="array" ref="N61">Power2Res($B61,N$58)</f>
        <v>7476.394849785408</v>
      </c>
      <c r="O61" s="56" cm="1">
        <f t="array" ref="O61">Power2Res($B61,O$58)</f>
        <v>8051.5021459227473</v>
      </c>
      <c r="P61" s="56" cm="1">
        <f t="array" ref="P61">Power2Res($B61,P$58)</f>
        <v>8626.6094420600857</v>
      </c>
    </row>
    <row r="62" spans="1:16" x14ac:dyDescent="0.3">
      <c r="B62" s="102">
        <v>40</v>
      </c>
      <c r="C62" s="56" cm="1">
        <f t="array" ref="C62">Power2Res($B62,C$58)</f>
        <v>1039</v>
      </c>
      <c r="D62" s="56" cm="1">
        <f t="array" ref="D62">Power2Res($B62,D$58)</f>
        <v>1039</v>
      </c>
      <c r="E62" s="56" cm="1">
        <f t="array" ref="E62">Power2Res($B62,E$58)</f>
        <v>1559</v>
      </c>
      <c r="F62" s="56" cm="1">
        <f t="array" ref="F62">Power2Res($B62,F$58)</f>
        <v>2012.0120120120121</v>
      </c>
      <c r="G62" s="56" cm="1">
        <f t="array" ref="G62">Power2Res($B62,G$58)</f>
        <v>2414.4144144144148</v>
      </c>
      <c r="H62" s="56" cm="1">
        <f t="array" ref="H62">Power2Res($B62,H$58)</f>
        <v>2816.8168168168172</v>
      </c>
      <c r="I62" s="56" cm="1">
        <f t="array" ref="I62">Power2Res($B62,I$58)</f>
        <v>3219.2192192192192</v>
      </c>
      <c r="J62" s="56" cm="1">
        <f t="array" ref="J62">Power2Res($B62,J$58)</f>
        <v>3621.6216216216217</v>
      </c>
      <c r="K62" s="56" cm="1">
        <f t="array" ref="K62">Power2Res($B62,K$58)</f>
        <v>4024.0240240240241</v>
      </c>
      <c r="L62" s="56" cm="1">
        <f t="array" ref="L62">Power2Res($B62,L$58)</f>
        <v>4426.4264264264266</v>
      </c>
      <c r="M62" s="56" cm="1">
        <f t="array" ref="M62">Power2Res($B62,M$58)</f>
        <v>4828.8288288288295</v>
      </c>
      <c r="N62" s="56" cm="1">
        <f t="array" ref="N62">Power2Res($B62,N$58)</f>
        <v>5231.2312312312315</v>
      </c>
      <c r="O62" s="56" cm="1">
        <f t="array" ref="O62">Power2Res($B62,O$58)</f>
        <v>5633.6336336336344</v>
      </c>
      <c r="P62" s="56" cm="1">
        <f t="array" ref="P62">Power2Res($B62,P$58)</f>
        <v>6036.0360360360364</v>
      </c>
    </row>
    <row r="63" spans="1:16" x14ac:dyDescent="0.3">
      <c r="B63" s="102">
        <v>50</v>
      </c>
      <c r="C63" s="56" cm="1">
        <f t="array" ref="C63">Power2Res($B63,C$58)</f>
        <v>1039</v>
      </c>
      <c r="D63" s="56" cm="1">
        <f t="array" ref="D63">Power2Res($B63,D$58)</f>
        <v>1039</v>
      </c>
      <c r="E63" s="56" cm="1">
        <f t="array" ref="E63">Power2Res($B63,E$58)</f>
        <v>1039</v>
      </c>
      <c r="F63" s="56" cm="1">
        <f t="array" ref="F63">Power2Res($B63,F$58)</f>
        <v>1559</v>
      </c>
      <c r="G63" s="56" cm="1">
        <f t="array" ref="G63">Power2Res($B63,G$58)</f>
        <v>2078</v>
      </c>
      <c r="H63" s="56" cm="1">
        <f t="array" ref="H63">Power2Res($B63,H$58)</f>
        <v>2166.2817551963044</v>
      </c>
      <c r="I63" s="56" cm="1">
        <f t="array" ref="I63">Power2Res($B63,I$58)</f>
        <v>2475.7505773672051</v>
      </c>
      <c r="J63" s="56" cm="1">
        <f t="array" ref="J63">Power2Res($B63,J$58)</f>
        <v>2785.2193995381058</v>
      </c>
      <c r="K63" s="56" cm="1">
        <f t="array" ref="K63">Power2Res($B63,K$58)</f>
        <v>3094.6882217090065</v>
      </c>
      <c r="L63" s="56" cm="1">
        <f t="array" ref="L63">Power2Res($B63,L$58)</f>
        <v>3404.1570438799072</v>
      </c>
      <c r="M63" s="56" cm="1">
        <f t="array" ref="M63">Power2Res($B63,M$58)</f>
        <v>3713.6258660508079</v>
      </c>
      <c r="N63" s="56" cm="1">
        <f t="array" ref="N63">Power2Res($B63,N$58)</f>
        <v>4023.0946882217086</v>
      </c>
      <c r="O63" s="56" cm="1">
        <f t="array" ref="O63">Power2Res($B63,O$58)</f>
        <v>4332.5635103926088</v>
      </c>
      <c r="P63" s="56" cm="1">
        <f t="array" ref="P63">Power2Res($B63,P$58)</f>
        <v>4642.03233256351</v>
      </c>
    </row>
  </sheetData>
  <conditionalFormatting sqref="C51:P55">
    <cfRule type="expression" dxfId="0" priority="1">
      <formula>C51=C$4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Powercurve</vt:lpstr>
      <vt:lpstr>Speed To Power</vt:lpstr>
      <vt:lpstr>iMagic T1901+T1902</vt:lpstr>
      <vt:lpstr>iFlow T1901+T1932</vt:lpstr>
      <vt:lpstr>CassetteOnlyData</vt:lpstr>
      <vt:lpstr>dDn</vt:lpstr>
      <vt:lpstr>dUp</vt:lpstr>
      <vt:lpstr>fL</vt:lpstr>
      <vt:lpstr>fS</vt:lpstr>
      <vt:lpstr>ftp</vt:lpstr>
      <vt:lpstr>ftp_Dn</vt:lpstr>
      <vt:lpstr>ftp_Up</vt:lpstr>
      <vt:lpstr>FullGearData</vt:lpstr>
      <vt:lpstr>gradeDn</vt:lpstr>
      <vt:lpstr>gradeUp</vt:lpstr>
      <vt:lpstr>P_Dn</vt:lpstr>
      <vt:lpstr>P_Up</vt:lpstr>
      <vt:lpstr>'Speed To Power'!Print_Area</vt:lpstr>
      <vt:lpstr>R_Dn</vt:lpstr>
      <vt:lpstr>R_Up</vt:lpstr>
      <vt:lpstr>rDn</vt:lpstr>
      <vt:lpstr>rL</vt:lpstr>
      <vt:lpstr>rpmDn</vt:lpstr>
      <vt:lpstr>rpmUp</vt:lpstr>
      <vt:lpstr>rS</vt:lpstr>
      <vt:lpstr>rUp</vt:lpstr>
      <vt:lpstr>SingleSpeedData</vt:lpstr>
      <vt:lpstr>tyre</vt:lpstr>
      <vt:lpstr>wDn</vt:lpstr>
      <vt:lpstr>wUp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DUBBELDAM</dc:creator>
  <cp:lastModifiedBy>WOUTER DUBBELDAM</cp:lastModifiedBy>
  <cp:lastPrinted>2020-01-10T16:35:29Z</cp:lastPrinted>
  <dcterms:created xsi:type="dcterms:W3CDTF">2019-12-19T18:16:52Z</dcterms:created>
  <dcterms:modified xsi:type="dcterms:W3CDTF">2020-11-26T23:01:34Z</dcterms:modified>
</cp:coreProperties>
</file>